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hnerb\Desktop\"/>
    </mc:Choice>
  </mc:AlternateContent>
  <xr:revisionPtr revIDLastSave="0" documentId="13_ncr:1_{0E528F53-391F-4611-A74C-F976F81364C7}" xr6:coauthVersionLast="47" xr6:coauthVersionMax="47" xr10:uidLastSave="{00000000-0000-0000-0000-000000000000}"/>
  <bookViews>
    <workbookView xWindow="3120" yWindow="3120" windowWidth="28365" windowHeight="14535" activeTab="1" xr2:uid="{29A33CAC-2855-41C3-B9AB-533EFD778FFF}"/>
  </bookViews>
  <sheets>
    <sheet name="ReadMe" sheetId="1" r:id="rId1"/>
    <sheet name="Actual Release" sheetId="2" r:id="rId2"/>
    <sheet name="Summary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<sst xmlns="http://schemas.openxmlformats.org/spreadsheetml/2006/main" count="681" uniqueCount="155">
  <si>
    <r>
      <t xml:space="preserve">Release Report
</t>
    </r>
    <r>
      <rPr>
        <sz val="11"/>
        <rFont val="Aptos Narrow"/>
        <family val="2"/>
        <scheme val="minor"/>
      </rPr>
      <t>Release data from EPAD database</t>
    </r>
  </si>
  <si>
    <t xml:space="preserve">The Release Report contains actual release data for the requested criteria. The data is denormalized (flattened) from the structured EPAD tables. In most cases there will be 1 row for each release group (MRP_TAGCODE field). However, if there are multiple fin clips for the same release code, there may be &gt;1 row. Most of the data fields should be self-explanatory, but further explanation for some is provided below. </t>
  </si>
  <si>
    <t>RowNum</t>
  </si>
  <si>
    <t>This will be 1 for most cases, but if there are multiple fin clips and &gt;1 row per release group, then it will be 2, 3, etc.</t>
  </si>
  <si>
    <t>TaggedClip</t>
  </si>
  <si>
    <t>The fin clip of the fish that have a coded-wire (CWT) tag.</t>
  </si>
  <si>
    <t>TaggedNum</t>
  </si>
  <si>
    <t>The number of fish that have a CWT.</t>
  </si>
  <si>
    <t>ShedTagNum</t>
  </si>
  <si>
    <t>The number of fish that had a CWT applied, but lost the tag before release.</t>
  </si>
  <si>
    <t>NoTagClip</t>
  </si>
  <si>
    <t>The fin clip of the fish that were clipped but were not tagged.</t>
  </si>
  <si>
    <t>NoTagNum</t>
  </si>
  <si>
    <t>The number of fish that were clipped with "NoTagClip" but were not tagged.</t>
  </si>
  <si>
    <t>NoTagPartMarkNum</t>
  </si>
  <si>
    <t>The number of fish that were clipped but the clip was not complete, so the fin is likely to regenerate.</t>
  </si>
  <si>
    <t>Unmarked Num</t>
  </si>
  <si>
    <t>The number of fish that had no CWT and no fin clip. They may have a thermal mark, but that is included in this report.</t>
  </si>
  <si>
    <t>TotalRelease</t>
  </si>
  <si>
    <t>The total number of fish on the release record. That is, the sum of TaggedNum+ShedTagNum+NoTagNum+NoTagPartMarkNum+UnmarkedNum.</t>
  </si>
  <si>
    <t>Summary Tag</t>
  </si>
  <si>
    <t>This tab includes a suggested pivot table summarizing the release data. It can be edited to suit the user's needs.</t>
  </si>
  <si>
    <t>PROGRAM_CODE</t>
  </si>
  <si>
    <t>PROJ_NAME</t>
  </si>
  <si>
    <t>SPECIES_NAME</t>
  </si>
  <si>
    <t>RUN_NAME</t>
  </si>
  <si>
    <t>BROOD_YEAR</t>
  </si>
  <si>
    <t>STOCK_NAME</t>
  </si>
  <si>
    <t>STOCK_PROD_AREA_CODE</t>
  </si>
  <si>
    <t>STOCK_CU_INDEX</t>
  </si>
  <si>
    <t>STOCK_CU_NAME</t>
  </si>
  <si>
    <t>STOCK_TYPE_CODE</t>
  </si>
  <si>
    <t>REARING_TYPE_CODE</t>
  </si>
  <si>
    <t>FACILITY_NAME</t>
  </si>
  <si>
    <t>RELEASE_SITE_NAME</t>
  </si>
  <si>
    <t>REL_CU_INDEX</t>
  </si>
  <si>
    <t>REL_CU_NAME</t>
  </si>
  <si>
    <t>RELEASE_STAGE_NAME</t>
  </si>
  <si>
    <t>MRP_TAGCODE</t>
  </si>
  <si>
    <t>RELEASE_YEAR</t>
  </si>
  <si>
    <t>START_DATE</t>
  </si>
  <si>
    <t>END_DATE</t>
  </si>
  <si>
    <t>AVE_WEIGHT</t>
  </si>
  <si>
    <t>PURPOSE_CODE</t>
  </si>
  <si>
    <t>TRANSFER</t>
  </si>
  <si>
    <t>RELEASE_COMMENT</t>
  </si>
  <si>
    <t>UnmarkedNum</t>
  </si>
  <si>
    <t>DPI</t>
  </si>
  <si>
    <t>Sayward F&amp;G</t>
  </si>
  <si>
    <t>Chinook</t>
  </si>
  <si>
    <t>Fall</t>
  </si>
  <si>
    <t>Salmon R/JNST</t>
  </si>
  <si>
    <t>JNST</t>
  </si>
  <si>
    <t>CK-29</t>
  </si>
  <si>
    <t>EAST VANCOUVER ISLAND-NORTH_FA_0.x</t>
  </si>
  <si>
    <t>M</t>
  </si>
  <si>
    <t>H</t>
  </si>
  <si>
    <t>Memekay River H</t>
  </si>
  <si>
    <t>Smolt 0+</t>
  </si>
  <si>
    <t>LV8415</t>
  </si>
  <si>
    <t>198507</t>
  </si>
  <si>
    <t>19850711</t>
  </si>
  <si>
    <t>P</t>
  </si>
  <si>
    <t>N</t>
  </si>
  <si>
    <t>MARKED FOR ESCAPEMENT I.D.</t>
  </si>
  <si>
    <t>LV</t>
  </si>
  <si>
    <t>Fed Fry</t>
  </si>
  <si>
    <t>NOCN8541</t>
  </si>
  <si>
    <t>198605</t>
  </si>
  <si>
    <t>19860525</t>
  </si>
  <si>
    <t>B</t>
  </si>
  <si>
    <t>RV8515</t>
  </si>
  <si>
    <t>198606</t>
  </si>
  <si>
    <t>19860623</t>
  </si>
  <si>
    <t>FED FRY RELEASE; MARKED FOR ESCAPEMENT I.D.</t>
  </si>
  <si>
    <t>RV</t>
  </si>
  <si>
    <t>NOCN8636</t>
  </si>
  <si>
    <t>19870601</t>
  </si>
  <si>
    <t>19870630</t>
  </si>
  <si>
    <t>NOCN8751</t>
  </si>
  <si>
    <t>198806</t>
  </si>
  <si>
    <t>19880615</t>
  </si>
  <si>
    <t>NOCN8842</t>
  </si>
  <si>
    <t>198907</t>
  </si>
  <si>
    <t>19890701</t>
  </si>
  <si>
    <t>NOCN8927</t>
  </si>
  <si>
    <t>19900416</t>
  </si>
  <si>
    <t>NOCN8976</t>
  </si>
  <si>
    <t>19900609</t>
  </si>
  <si>
    <t>NOCN9048</t>
  </si>
  <si>
    <t>19910614</t>
  </si>
  <si>
    <t>19910616</t>
  </si>
  <si>
    <t>NOCN9139</t>
  </si>
  <si>
    <t>19920526</t>
  </si>
  <si>
    <t>19920616</t>
  </si>
  <si>
    <t>NOCN9238</t>
  </si>
  <si>
    <t>19930609</t>
  </si>
  <si>
    <t>19930611</t>
  </si>
  <si>
    <t>NOCN0264</t>
  </si>
  <si>
    <t>200306</t>
  </si>
  <si>
    <t>Pallans Cr</t>
  </si>
  <si>
    <t>NOCN0364</t>
  </si>
  <si>
    <t>20040531</t>
  </si>
  <si>
    <t>Y</t>
  </si>
  <si>
    <t>NOCN0528</t>
  </si>
  <si>
    <t>20060428</t>
  </si>
  <si>
    <t>NOCN0678</t>
  </si>
  <si>
    <t>20070507</t>
  </si>
  <si>
    <t>20070510</t>
  </si>
  <si>
    <t>RELEASED AT BRIDGE SITE BELOW HYDRO DIVERSION.</t>
  </si>
  <si>
    <t>NOCN07100</t>
  </si>
  <si>
    <t>20080508</t>
  </si>
  <si>
    <t>20080509</t>
  </si>
  <si>
    <t>W</t>
  </si>
  <si>
    <t>NOCN0847</t>
  </si>
  <si>
    <t>20090507</t>
  </si>
  <si>
    <t>20090508</t>
  </si>
  <si>
    <t>NOCN0984</t>
  </si>
  <si>
    <t>201004</t>
  </si>
  <si>
    <t>NOCN1240</t>
  </si>
  <si>
    <t>20130507</t>
  </si>
  <si>
    <t>20130508</t>
  </si>
  <si>
    <t>Salmon R Up/JNST</t>
  </si>
  <si>
    <t>NOCN1426</t>
  </si>
  <si>
    <t>20150507</t>
  </si>
  <si>
    <t>NOCN1724</t>
  </si>
  <si>
    <t>20180501</t>
  </si>
  <si>
    <t>186604</t>
  </si>
  <si>
    <t>20210511</t>
  </si>
  <si>
    <t>AD</t>
  </si>
  <si>
    <t>186870</t>
  </si>
  <si>
    <t>20220510</t>
  </si>
  <si>
    <t>20220511</t>
  </si>
  <si>
    <t>186606</t>
  </si>
  <si>
    <t>20230502</t>
  </si>
  <si>
    <t>186491</t>
  </si>
  <si>
    <t>20240508</t>
  </si>
  <si>
    <t>186862</t>
  </si>
  <si>
    <t>AD2407</t>
  </si>
  <si>
    <t>20250429</t>
  </si>
  <si>
    <t>OPS</t>
  </si>
  <si>
    <t>Quinsam R</t>
  </si>
  <si>
    <t>Quinsam River H</t>
  </si>
  <si>
    <t>NOCN1014</t>
  </si>
  <si>
    <t>20110504</t>
  </si>
  <si>
    <t>PIP</t>
  </si>
  <si>
    <t>Campbell R Sch</t>
  </si>
  <si>
    <t>Campbell River Schools</t>
  </si>
  <si>
    <t>NOCN2429</t>
  </si>
  <si>
    <t>20250314</t>
  </si>
  <si>
    <t>20250402</t>
  </si>
  <si>
    <t>(All)</t>
  </si>
  <si>
    <t>Row Labels</t>
  </si>
  <si>
    <t>Column Labels</t>
  </si>
  <si>
    <t>Total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</si>
</sst>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3">
    <dxf>
      <alignment horizontal="lef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ehner, Brendan" refreshedDate="45938.339225115742" createdVersion="4" refreshedVersion="8" minRefreshableVersion="3" recordCount="29" xr:uid="{3B24A530-CA01-489F-860E-0175ABE7545F}">
  <cacheSource type="worksheet">
    <worksheetSource ref="A1:AG30" sheet="Actual Release"/>
  </cacheSource>
  <cacheFields count="33">
    <cacheField name="PROGRAM_CODE" numFmtId="0">
      <sharedItems/>
    </cacheField>
    <cacheField name="PROJ_NAME" numFmtId="0">
      <sharedItems count="3">
        <s v="Sayward F&amp;G"/>
        <s v="Quinsam R"/>
        <s v="Campbell R Sch"/>
      </sharedItems>
    </cacheField>
    <cacheField name="SPECIES_NAME" numFmtId="0">
      <sharedItems count="1">
        <s v="Chinook"/>
      </sharedItems>
    </cacheField>
    <cacheField name="RUN_NAME" numFmtId="0">
      <sharedItems count="1">
        <s v="Fall"/>
      </sharedItems>
    </cacheField>
    <cacheField name="BROOD_YEAR" numFmtId="0">
      <sharedItems containsSemiMixedTypes="0" containsString="0" containsNumber="1" containsInteger="1" minValue="1984" maxValue="2024" count="25">
        <n v="1984"/>
        <n v="1985"/>
        <n v="1986"/>
        <n v="1987"/>
        <n v="1988"/>
        <n v="1989"/>
        <n v="1990"/>
        <n v="1991"/>
        <n v="1992"/>
        <n v="2002"/>
        <n v="2003"/>
        <n v="2005"/>
        <n v="2006"/>
        <n v="2007"/>
        <n v="2008"/>
        <n v="2009"/>
        <n v="2012"/>
        <n v="2014"/>
        <n v="2017"/>
        <n v="2020"/>
        <n v="2021"/>
        <n v="2022"/>
        <n v="2023"/>
        <n v="2024"/>
        <n v="2010"/>
      </sharedItems>
    </cacheField>
    <cacheField name="STOCK_NAME" numFmtId="0">
      <sharedItems count="1">
        <s v="Salmon R/JNST"/>
      </sharedItems>
    </cacheField>
    <cacheField name="STOCK_PROD_AREA_CODE" numFmtId="0">
      <sharedItems/>
    </cacheField>
    <cacheField name="STOCK_CU_INDEX" numFmtId="0">
      <sharedItems/>
    </cacheField>
    <cacheField name="STOCK_CU_NAME" numFmtId="0">
      <sharedItems/>
    </cacheField>
    <cacheField name="STOCK_TYPE_CODE" numFmtId="0">
      <sharedItems/>
    </cacheField>
    <cacheField name="REARING_TYPE_CODE" numFmtId="0">
      <sharedItems/>
    </cacheField>
    <cacheField name="FACILITY_NAME" numFmtId="0">
      <sharedItems/>
    </cacheField>
    <cacheField name="RELEASE_SITE_NAME" numFmtId="0">
      <sharedItems count="3">
        <s v="Salmon R/JNST"/>
        <s v="Pallans Cr"/>
        <s v="Salmon R Up/JNST"/>
      </sharedItems>
    </cacheField>
    <cacheField name="REL_CU_INDEX" numFmtId="0">
      <sharedItems containsBlank="1"/>
    </cacheField>
    <cacheField name="REL_CU_NAME" numFmtId="0">
      <sharedItems containsBlank="1"/>
    </cacheField>
    <cacheField name="RELEASE_STAGE_NAME" numFmtId="0">
      <sharedItems count="2">
        <s v="Smolt 0+"/>
        <s v="Fed Fry"/>
      </sharedItems>
    </cacheField>
    <cacheField name="MRP_TAGCODE" numFmtId="0">
      <sharedItems/>
    </cacheField>
    <cacheField name="RELEASE_YEAR" numFmtId="0">
      <sharedItems containsSemiMixedTypes="0" containsString="0" containsNumber="1" containsInteger="1" minValue="1985" maxValue="2025"/>
    </cacheField>
    <cacheField name="START_DATE" numFmtId="0">
      <sharedItems/>
    </cacheField>
    <cacheField name="END_DATE" numFmtId="0">
      <sharedItems/>
    </cacheField>
    <cacheField name="AVE_WEIGHT" numFmtId="0">
      <sharedItems containsString="0" containsBlank="1" containsNumber="1" minValue="1.5" maxValue="6.92"/>
    </cacheField>
    <cacheField name="PURPOSE_CODE" numFmtId="0">
      <sharedItems/>
    </cacheField>
    <cacheField name="TRANSFER" numFmtId="0">
      <sharedItems/>
    </cacheField>
    <cacheField name="RELEASE_COMMENT" numFmtId="0">
      <sharedItems containsBlank="1"/>
    </cacheField>
    <cacheField name="RowNum" numFmtId="0">
      <sharedItems containsSemiMixedTypes="0" containsString="0" containsNumber="1" containsInteger="1" minValue="1" maxValue="1"/>
    </cacheField>
    <cacheField name="TaggedClip" numFmtId="0">
      <sharedItems containsBlank="1"/>
    </cacheField>
    <cacheField name="TaggedNum" numFmtId="0">
      <sharedItems containsSemiMixedTypes="0" containsString="0" containsNumber="1" containsInteger="1" minValue="0" maxValue="110547"/>
    </cacheField>
    <cacheField name="ShedTagNum" numFmtId="0">
      <sharedItems containsSemiMixedTypes="0" containsString="0" containsNumber="1" containsInteger="1" minValue="0" maxValue="7129"/>
    </cacheField>
    <cacheField name="NoTagClip" numFmtId="0">
      <sharedItems containsBlank="1"/>
    </cacheField>
    <cacheField name="NoTagNum" numFmtId="0">
      <sharedItems containsSemiMixedTypes="0" containsString="0" containsNumber="1" containsInteger="1" minValue="0" maxValue="93256"/>
    </cacheField>
    <cacheField name="NoTagPartMarkNum" numFmtId="0">
      <sharedItems containsSemiMixedTypes="0" containsString="0" containsNumber="1" containsInteger="1" minValue="0" maxValue="0"/>
    </cacheField>
    <cacheField name="UnmarkedNum" numFmtId="0">
      <sharedItems containsString="0" containsBlank="1" containsNumber="1" containsInteger="1" minValue="89" maxValue="185000"/>
    </cacheField>
    <cacheField name="TotalRelease" numFmtId="0">
      <sharedItems containsSemiMixedTypes="0" containsString="0" containsNumber="1" containsInteger="1" minValue="89" maxValue="1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DPI"/>
    <x v="0"/>
    <x v="0"/>
    <x v="0"/>
    <x v="0"/>
    <x v="0"/>
    <s v="JNST"/>
    <s v="CK-29"/>
    <s v="EAST VANCOUVER ISLAND-NORTH_FA_0.x"/>
    <s v="M"/>
    <s v="H"/>
    <s v="Memekay River H"/>
    <x v="0"/>
    <s v="CK-29"/>
    <s v="EAST VANCOUVER ISLAND-NORTH_FA_0.x"/>
    <x v="0"/>
    <s v="LV8415"/>
    <n v="1985"/>
    <s v="198507"/>
    <s v="19850711"/>
    <n v="3.8"/>
    <s v="P"/>
    <s v="N"/>
    <s v="MARKED FOR ESCAPEMENT I.D."/>
    <n v="1"/>
    <m/>
    <n v="0"/>
    <n v="0"/>
    <s v="LV"/>
    <n v="24894"/>
    <n v="0"/>
    <n v="117"/>
    <n v="25011"/>
  </r>
  <r>
    <s v="DPI"/>
    <x v="0"/>
    <x v="0"/>
    <x v="0"/>
    <x v="1"/>
    <x v="0"/>
    <s v="JNST"/>
    <s v="CK-29"/>
    <s v="EAST VANCOUVER ISLAND-NORTH_FA_0.x"/>
    <s v="M"/>
    <s v="H"/>
    <s v="Memekay River H"/>
    <x v="0"/>
    <s v="CK-29"/>
    <s v="EAST VANCOUVER ISLAND-NORTH_FA_0.x"/>
    <x v="1"/>
    <s v="NOCN8541"/>
    <n v="1986"/>
    <s v="198605"/>
    <s v="19860525"/>
    <n v="1.5"/>
    <s v="B"/>
    <s v="N"/>
    <m/>
    <n v="1"/>
    <m/>
    <n v="0"/>
    <n v="0"/>
    <m/>
    <n v="0"/>
    <n v="0"/>
    <n v="38686"/>
    <n v="38686"/>
  </r>
  <r>
    <s v="DPI"/>
    <x v="0"/>
    <x v="0"/>
    <x v="0"/>
    <x v="1"/>
    <x v="0"/>
    <s v="JNST"/>
    <s v="CK-29"/>
    <s v="EAST VANCOUVER ISLAND-NORTH_FA_0.x"/>
    <s v="M"/>
    <s v="H"/>
    <s v="Memekay River H"/>
    <x v="0"/>
    <s v="CK-29"/>
    <s v="EAST VANCOUVER ISLAND-NORTH_FA_0.x"/>
    <x v="1"/>
    <s v="RV8515"/>
    <n v="1986"/>
    <s v="198606"/>
    <s v="19860623"/>
    <n v="2.25"/>
    <s v="B"/>
    <s v="N"/>
    <s v="FED FRY RELEASE; MARKED FOR ESCAPEMENT I.D."/>
    <n v="1"/>
    <m/>
    <n v="0"/>
    <n v="0"/>
    <s v="RV"/>
    <n v="14314"/>
    <n v="0"/>
    <m/>
    <n v="14314"/>
  </r>
  <r>
    <s v="DPI"/>
    <x v="0"/>
    <x v="0"/>
    <x v="0"/>
    <x v="2"/>
    <x v="0"/>
    <s v="JNST"/>
    <s v="CK-29"/>
    <s v="EAST VANCOUVER ISLAND-NORTH_FA_0.x"/>
    <s v="M"/>
    <s v="H"/>
    <s v="Memekay River H"/>
    <x v="0"/>
    <s v="CK-29"/>
    <s v="EAST VANCOUVER ISLAND-NORTH_FA_0.x"/>
    <x v="0"/>
    <s v="NOCN8636"/>
    <n v="1987"/>
    <s v="19870601"/>
    <s v="19870630"/>
    <n v="5"/>
    <s v="P"/>
    <s v="N"/>
    <m/>
    <n v="1"/>
    <m/>
    <n v="0"/>
    <n v="0"/>
    <m/>
    <n v="0"/>
    <n v="0"/>
    <n v="158000"/>
    <n v="158000"/>
  </r>
  <r>
    <s v="DPI"/>
    <x v="0"/>
    <x v="0"/>
    <x v="0"/>
    <x v="3"/>
    <x v="0"/>
    <s v="JNST"/>
    <s v="CK-29"/>
    <s v="EAST VANCOUVER ISLAND-NORTH_FA_0.x"/>
    <s v="M"/>
    <s v="H"/>
    <s v="Memekay River H"/>
    <x v="0"/>
    <s v="CK-29"/>
    <s v="EAST VANCOUVER ISLAND-NORTH_FA_0.x"/>
    <x v="0"/>
    <s v="NOCN8751"/>
    <n v="1988"/>
    <s v="198806"/>
    <s v="19880615"/>
    <n v="5"/>
    <s v="P"/>
    <s v="N"/>
    <m/>
    <n v="1"/>
    <m/>
    <n v="0"/>
    <n v="0"/>
    <m/>
    <n v="0"/>
    <n v="0"/>
    <n v="185000"/>
    <n v="185000"/>
  </r>
  <r>
    <s v="DPI"/>
    <x v="0"/>
    <x v="0"/>
    <x v="0"/>
    <x v="4"/>
    <x v="0"/>
    <s v="JNST"/>
    <s v="CK-29"/>
    <s v="EAST VANCOUVER ISLAND-NORTH_FA_0.x"/>
    <s v="M"/>
    <s v="H"/>
    <s v="Memekay River H"/>
    <x v="0"/>
    <s v="CK-29"/>
    <s v="EAST VANCOUVER ISLAND-NORTH_FA_0.x"/>
    <x v="0"/>
    <s v="NOCN8842"/>
    <n v="1989"/>
    <s v="198907"/>
    <s v="19890701"/>
    <n v="5"/>
    <s v="P"/>
    <s v="N"/>
    <m/>
    <n v="1"/>
    <m/>
    <n v="0"/>
    <n v="0"/>
    <m/>
    <n v="0"/>
    <n v="0"/>
    <n v="4000"/>
    <n v="4000"/>
  </r>
  <r>
    <s v="DPI"/>
    <x v="0"/>
    <x v="0"/>
    <x v="0"/>
    <x v="5"/>
    <x v="0"/>
    <s v="JNST"/>
    <s v="CK-29"/>
    <s v="EAST VANCOUVER ISLAND-NORTH_FA_0.x"/>
    <s v="M"/>
    <s v="H"/>
    <s v="Memekay River H"/>
    <x v="0"/>
    <s v="CK-29"/>
    <s v="EAST VANCOUVER ISLAND-NORTH_FA_0.x"/>
    <x v="1"/>
    <s v="NOCN8927"/>
    <n v="1990"/>
    <s v="19900416"/>
    <s v="19900416"/>
    <n v="1.5"/>
    <s v="B"/>
    <s v="N"/>
    <m/>
    <n v="1"/>
    <m/>
    <n v="0"/>
    <n v="0"/>
    <m/>
    <n v="0"/>
    <n v="0"/>
    <n v="100000"/>
    <n v="100000"/>
  </r>
  <r>
    <s v="DPI"/>
    <x v="0"/>
    <x v="0"/>
    <x v="0"/>
    <x v="5"/>
    <x v="0"/>
    <s v="JNST"/>
    <s v="CK-29"/>
    <s v="EAST VANCOUVER ISLAND-NORTH_FA_0.x"/>
    <s v="M"/>
    <s v="H"/>
    <s v="Memekay River H"/>
    <x v="0"/>
    <s v="CK-29"/>
    <s v="EAST VANCOUVER ISLAND-NORTH_FA_0.x"/>
    <x v="0"/>
    <s v="NOCN8976"/>
    <n v="1990"/>
    <s v="19900609"/>
    <s v="19900609"/>
    <n v="6.5"/>
    <s v="P"/>
    <s v="N"/>
    <m/>
    <n v="1"/>
    <m/>
    <n v="0"/>
    <n v="0"/>
    <m/>
    <n v="0"/>
    <n v="0"/>
    <n v="150000"/>
    <n v="150000"/>
  </r>
  <r>
    <s v="DPI"/>
    <x v="0"/>
    <x v="0"/>
    <x v="0"/>
    <x v="6"/>
    <x v="0"/>
    <s v="JNST"/>
    <s v="CK-29"/>
    <s v="EAST VANCOUVER ISLAND-NORTH_FA_0.x"/>
    <s v="M"/>
    <s v="H"/>
    <s v="Memekay River H"/>
    <x v="0"/>
    <s v="CK-29"/>
    <s v="EAST VANCOUVER ISLAND-NORTH_FA_0.x"/>
    <x v="0"/>
    <s v="NOCN9048"/>
    <n v="1991"/>
    <s v="19910614"/>
    <s v="19910616"/>
    <n v="6"/>
    <s v="P"/>
    <s v="N"/>
    <m/>
    <n v="1"/>
    <m/>
    <n v="0"/>
    <n v="0"/>
    <m/>
    <n v="0"/>
    <n v="0"/>
    <n v="170000"/>
    <n v="170000"/>
  </r>
  <r>
    <s v="DPI"/>
    <x v="0"/>
    <x v="0"/>
    <x v="0"/>
    <x v="7"/>
    <x v="0"/>
    <s v="JNST"/>
    <s v="CK-29"/>
    <s v="EAST VANCOUVER ISLAND-NORTH_FA_0.x"/>
    <s v="M"/>
    <s v="H"/>
    <s v="Memekay River H"/>
    <x v="0"/>
    <s v="CK-29"/>
    <s v="EAST VANCOUVER ISLAND-NORTH_FA_0.x"/>
    <x v="0"/>
    <s v="NOCN9139"/>
    <n v="1992"/>
    <s v="19920526"/>
    <s v="19920616"/>
    <n v="5"/>
    <s v="P"/>
    <s v="N"/>
    <m/>
    <n v="1"/>
    <m/>
    <n v="0"/>
    <n v="0"/>
    <m/>
    <n v="0"/>
    <n v="0"/>
    <n v="178000"/>
    <n v="178000"/>
  </r>
  <r>
    <s v="DPI"/>
    <x v="0"/>
    <x v="0"/>
    <x v="0"/>
    <x v="8"/>
    <x v="0"/>
    <s v="JNST"/>
    <s v="CK-29"/>
    <s v="EAST VANCOUVER ISLAND-NORTH_FA_0.x"/>
    <s v="M"/>
    <s v="H"/>
    <s v="Memekay River H"/>
    <x v="0"/>
    <s v="CK-29"/>
    <s v="EAST VANCOUVER ISLAND-NORTH_FA_0.x"/>
    <x v="0"/>
    <s v="NOCN9238"/>
    <n v="1993"/>
    <s v="19930609"/>
    <s v="19930611"/>
    <n v="5"/>
    <s v="P"/>
    <s v="N"/>
    <m/>
    <n v="1"/>
    <m/>
    <n v="0"/>
    <n v="0"/>
    <m/>
    <n v="0"/>
    <n v="0"/>
    <n v="109500"/>
    <n v="109500"/>
  </r>
  <r>
    <s v="DPI"/>
    <x v="0"/>
    <x v="0"/>
    <x v="0"/>
    <x v="9"/>
    <x v="0"/>
    <s v="JNST"/>
    <s v="CK-29"/>
    <s v="EAST VANCOUVER ISLAND-NORTH_FA_0.x"/>
    <s v="M"/>
    <s v="H"/>
    <s v="Memekay River H"/>
    <x v="0"/>
    <s v="CK-29"/>
    <s v="EAST VANCOUVER ISLAND-NORTH_FA_0.x"/>
    <x v="0"/>
    <s v="NOCN0264"/>
    <n v="2003"/>
    <s v="200306"/>
    <s v="200306"/>
    <n v="5"/>
    <s v="P"/>
    <s v="N"/>
    <m/>
    <n v="1"/>
    <m/>
    <n v="0"/>
    <n v="0"/>
    <m/>
    <n v="0"/>
    <n v="0"/>
    <n v="34000"/>
    <n v="34000"/>
  </r>
  <r>
    <s v="DPI"/>
    <x v="0"/>
    <x v="0"/>
    <x v="0"/>
    <x v="10"/>
    <x v="0"/>
    <s v="JNST"/>
    <s v="CK-29"/>
    <s v="EAST VANCOUVER ISLAND-NORTH_FA_0.x"/>
    <s v="M"/>
    <s v="H"/>
    <s v="Memekay River H"/>
    <x v="1"/>
    <m/>
    <m/>
    <x v="0"/>
    <s v="NOCN0364"/>
    <n v="2004"/>
    <s v="20040531"/>
    <s v="20040531"/>
    <n v="5.4"/>
    <s v="P"/>
    <s v="Y"/>
    <m/>
    <n v="1"/>
    <m/>
    <n v="0"/>
    <n v="0"/>
    <m/>
    <n v="0"/>
    <n v="0"/>
    <n v="37700"/>
    <n v="37700"/>
  </r>
  <r>
    <s v="DPI"/>
    <x v="0"/>
    <x v="0"/>
    <x v="0"/>
    <x v="11"/>
    <x v="0"/>
    <s v="JNST"/>
    <s v="CK-29"/>
    <s v="EAST VANCOUVER ISLAND-NORTH_FA_0.x"/>
    <s v="M"/>
    <s v="H"/>
    <s v="Memekay River H"/>
    <x v="0"/>
    <s v="CK-29"/>
    <s v="EAST VANCOUVER ISLAND-NORTH_FA_0.x"/>
    <x v="0"/>
    <s v="NOCN0528"/>
    <n v="2006"/>
    <s v="20060428"/>
    <s v="20060428"/>
    <n v="4.96"/>
    <s v="P"/>
    <s v="N"/>
    <m/>
    <n v="1"/>
    <m/>
    <n v="0"/>
    <n v="0"/>
    <m/>
    <n v="0"/>
    <n v="0"/>
    <n v="32656"/>
    <n v="32656"/>
  </r>
  <r>
    <s v="DPI"/>
    <x v="0"/>
    <x v="0"/>
    <x v="0"/>
    <x v="12"/>
    <x v="0"/>
    <s v="JNST"/>
    <s v="CK-29"/>
    <s v="EAST VANCOUVER ISLAND-NORTH_FA_0.x"/>
    <s v="M"/>
    <s v="H"/>
    <s v="Memekay River H"/>
    <x v="0"/>
    <s v="CK-29"/>
    <s v="EAST VANCOUVER ISLAND-NORTH_FA_0.x"/>
    <x v="0"/>
    <s v="NOCN0678"/>
    <n v="2007"/>
    <s v="20070507"/>
    <s v="20070510"/>
    <n v="5.2"/>
    <s v="P"/>
    <s v="N"/>
    <s v="RELEASED AT BRIDGE SITE BELOW HYDRO DIVERSION."/>
    <n v="1"/>
    <m/>
    <n v="0"/>
    <n v="0"/>
    <m/>
    <n v="0"/>
    <n v="0"/>
    <n v="85259"/>
    <n v="85259"/>
  </r>
  <r>
    <s v="DPI"/>
    <x v="0"/>
    <x v="0"/>
    <x v="0"/>
    <x v="13"/>
    <x v="0"/>
    <s v="JNST"/>
    <s v="CK-29"/>
    <s v="EAST VANCOUVER ISLAND-NORTH_FA_0.x"/>
    <s v="M"/>
    <s v="H"/>
    <s v="Memekay River H"/>
    <x v="0"/>
    <s v="CK-29"/>
    <s v="EAST VANCOUVER ISLAND-NORTH_FA_0.x"/>
    <x v="0"/>
    <s v="NOCN07100"/>
    <n v="2008"/>
    <s v="20080508"/>
    <s v="20080509"/>
    <n v="6.46"/>
    <s v="P"/>
    <s v="N"/>
    <m/>
    <n v="1"/>
    <m/>
    <n v="0"/>
    <n v="0"/>
    <m/>
    <n v="0"/>
    <n v="0"/>
    <n v="80645"/>
    <n v="80645"/>
  </r>
  <r>
    <s v="DPI"/>
    <x v="0"/>
    <x v="0"/>
    <x v="0"/>
    <x v="14"/>
    <x v="0"/>
    <s v="JNST"/>
    <s v="CK-29"/>
    <s v="EAST VANCOUVER ISLAND-NORTH_FA_0.x"/>
    <s v="W"/>
    <s v="H"/>
    <s v="Memekay River H"/>
    <x v="0"/>
    <s v="CK-29"/>
    <s v="EAST VANCOUVER ISLAND-NORTH_FA_0.x"/>
    <x v="0"/>
    <s v="NOCN0847"/>
    <n v="2009"/>
    <s v="20090507"/>
    <s v="20090508"/>
    <n v="5.7"/>
    <s v="P"/>
    <s v="N"/>
    <m/>
    <n v="1"/>
    <m/>
    <n v="0"/>
    <n v="0"/>
    <m/>
    <n v="0"/>
    <n v="0"/>
    <n v="88055"/>
    <n v="88055"/>
  </r>
  <r>
    <s v="DPI"/>
    <x v="0"/>
    <x v="0"/>
    <x v="0"/>
    <x v="15"/>
    <x v="0"/>
    <s v="JNST"/>
    <s v="CK-29"/>
    <s v="EAST VANCOUVER ISLAND-NORTH_FA_0.x"/>
    <s v="M"/>
    <s v="H"/>
    <s v="Memekay River H"/>
    <x v="0"/>
    <s v="CK-29"/>
    <s v="EAST VANCOUVER ISLAND-NORTH_FA_0.x"/>
    <x v="0"/>
    <s v="NOCN0984"/>
    <n v="2010"/>
    <s v="201004"/>
    <s v="201004"/>
    <n v="6"/>
    <s v="P"/>
    <s v="N"/>
    <m/>
    <n v="1"/>
    <m/>
    <n v="0"/>
    <n v="0"/>
    <m/>
    <n v="0"/>
    <n v="0"/>
    <n v="88937"/>
    <n v="88937"/>
  </r>
  <r>
    <s v="DPI"/>
    <x v="0"/>
    <x v="0"/>
    <x v="0"/>
    <x v="16"/>
    <x v="0"/>
    <s v="JNST"/>
    <s v="CK-29"/>
    <s v="EAST VANCOUVER ISLAND-NORTH_FA_0.x"/>
    <s v="M"/>
    <s v="H"/>
    <s v="Memekay River H"/>
    <x v="0"/>
    <s v="CK-29"/>
    <s v="EAST VANCOUVER ISLAND-NORTH_FA_0.x"/>
    <x v="0"/>
    <s v="NOCN1240"/>
    <n v="2013"/>
    <s v="20130507"/>
    <s v="20130508"/>
    <m/>
    <s v="P"/>
    <s v="N"/>
    <m/>
    <n v="1"/>
    <m/>
    <n v="0"/>
    <n v="0"/>
    <m/>
    <n v="0"/>
    <n v="0"/>
    <n v="79842"/>
    <n v="79842"/>
  </r>
  <r>
    <s v="DPI"/>
    <x v="0"/>
    <x v="0"/>
    <x v="0"/>
    <x v="17"/>
    <x v="0"/>
    <s v="JNST"/>
    <s v="CK-29"/>
    <s v="EAST VANCOUVER ISLAND-NORTH_FA_0.x"/>
    <s v="M"/>
    <s v="H"/>
    <s v="Memekay River H"/>
    <x v="2"/>
    <s v="CK-29"/>
    <s v="EAST VANCOUVER ISLAND-NORTH_FA_0.x"/>
    <x v="0"/>
    <s v="NOCN1426"/>
    <n v="2015"/>
    <s v="20150507"/>
    <s v="20150507"/>
    <n v="6.65"/>
    <s v="P"/>
    <s v="N"/>
    <m/>
    <n v="1"/>
    <m/>
    <n v="0"/>
    <n v="0"/>
    <m/>
    <n v="0"/>
    <n v="0"/>
    <n v="75151"/>
    <n v="75151"/>
  </r>
  <r>
    <s v="DPI"/>
    <x v="0"/>
    <x v="0"/>
    <x v="0"/>
    <x v="18"/>
    <x v="0"/>
    <s v="JNST"/>
    <s v="CK-29"/>
    <s v="EAST VANCOUVER ISLAND-NORTH_FA_0.x"/>
    <s v="M"/>
    <s v="H"/>
    <s v="Memekay River H"/>
    <x v="0"/>
    <s v="CK-29"/>
    <s v="EAST VANCOUVER ISLAND-NORTH_FA_0.x"/>
    <x v="0"/>
    <s v="NOCN1724"/>
    <n v="2018"/>
    <s v="20180501"/>
    <s v="20180501"/>
    <n v="6.92"/>
    <s v="P"/>
    <s v="N"/>
    <m/>
    <n v="1"/>
    <m/>
    <n v="0"/>
    <n v="0"/>
    <m/>
    <n v="0"/>
    <n v="0"/>
    <n v="122186"/>
    <n v="122186"/>
  </r>
  <r>
    <s v="DPI"/>
    <x v="0"/>
    <x v="0"/>
    <x v="0"/>
    <x v="19"/>
    <x v="0"/>
    <s v="JNST"/>
    <s v="CK-29"/>
    <s v="EAST VANCOUVER ISLAND-NORTH_FA_0.x"/>
    <s v="M"/>
    <s v="H"/>
    <s v="Memekay River H"/>
    <x v="0"/>
    <s v="CK-29"/>
    <s v="EAST VANCOUVER ISLAND-NORTH_FA_0.x"/>
    <x v="0"/>
    <s v="186604"/>
    <n v="2021"/>
    <s v="20210511"/>
    <s v="20210511"/>
    <n v="4.3499999999999996"/>
    <s v="P"/>
    <s v="N"/>
    <m/>
    <n v="1"/>
    <s v="AD"/>
    <n v="110547"/>
    <n v="1087"/>
    <m/>
    <n v="0"/>
    <n v="0"/>
    <n v="4135"/>
    <n v="115769"/>
  </r>
  <r>
    <s v="DPI"/>
    <x v="0"/>
    <x v="0"/>
    <x v="0"/>
    <x v="20"/>
    <x v="0"/>
    <s v="JNST"/>
    <s v="CK-29"/>
    <s v="EAST VANCOUVER ISLAND-NORTH_FA_0.x"/>
    <s v="M"/>
    <s v="H"/>
    <s v="Memekay River H"/>
    <x v="0"/>
    <s v="CK-29"/>
    <s v="EAST VANCOUVER ISLAND-NORTH_FA_0.x"/>
    <x v="0"/>
    <s v="186870"/>
    <n v="2022"/>
    <s v="20220510"/>
    <s v="20220511"/>
    <n v="5.5"/>
    <s v="P"/>
    <s v="N"/>
    <m/>
    <n v="1"/>
    <s v="AD"/>
    <n v="105035"/>
    <n v="7129"/>
    <m/>
    <n v="0"/>
    <n v="0"/>
    <n v="9778"/>
    <n v="121942"/>
  </r>
  <r>
    <s v="DPI"/>
    <x v="0"/>
    <x v="0"/>
    <x v="0"/>
    <x v="21"/>
    <x v="0"/>
    <s v="JNST"/>
    <s v="CK-29"/>
    <s v="EAST VANCOUVER ISLAND-NORTH_FA_0.x"/>
    <s v="M"/>
    <s v="H"/>
    <s v="Memekay River H"/>
    <x v="0"/>
    <s v="CK-29"/>
    <s v="EAST VANCOUVER ISLAND-NORTH_FA_0.x"/>
    <x v="0"/>
    <s v="186606"/>
    <n v="2023"/>
    <s v="20230502"/>
    <s v="20230502"/>
    <n v="3.6"/>
    <s v="B"/>
    <s v="N"/>
    <m/>
    <n v="1"/>
    <s v="AD"/>
    <n v="91046"/>
    <n v="0"/>
    <m/>
    <n v="0"/>
    <n v="0"/>
    <m/>
    <n v="91046"/>
  </r>
  <r>
    <s v="DPI"/>
    <x v="0"/>
    <x v="0"/>
    <x v="0"/>
    <x v="22"/>
    <x v="0"/>
    <s v="JNST"/>
    <s v="CK-29"/>
    <s v="EAST VANCOUVER ISLAND-NORTH_FA_0.x"/>
    <s v="M"/>
    <s v="H"/>
    <s v="Memekay River H"/>
    <x v="0"/>
    <s v="CK-29"/>
    <s v="EAST VANCOUVER ISLAND-NORTH_FA_0.x"/>
    <x v="0"/>
    <s v="186491"/>
    <n v="2024"/>
    <s v="20240508"/>
    <s v="20240508"/>
    <n v="5.6"/>
    <s v="P"/>
    <s v="N"/>
    <m/>
    <n v="1"/>
    <s v="AD"/>
    <n v="51469"/>
    <n v="293"/>
    <s v="AD"/>
    <n v="1560"/>
    <n v="0"/>
    <m/>
    <n v="53322"/>
  </r>
  <r>
    <s v="DPI"/>
    <x v="0"/>
    <x v="0"/>
    <x v="0"/>
    <x v="22"/>
    <x v="0"/>
    <s v="JNST"/>
    <s v="CK-29"/>
    <s v="EAST VANCOUVER ISLAND-NORTH_FA_0.x"/>
    <s v="M"/>
    <s v="H"/>
    <s v="Memekay River H"/>
    <x v="0"/>
    <s v="CK-29"/>
    <s v="EAST VANCOUVER ISLAND-NORTH_FA_0.x"/>
    <x v="0"/>
    <s v="186862"/>
    <n v="2024"/>
    <s v="20240508"/>
    <s v="20240508"/>
    <n v="5.6"/>
    <s v="P"/>
    <s v="N"/>
    <m/>
    <n v="1"/>
    <s v="AD"/>
    <n v="43001"/>
    <n v="129"/>
    <s v="AD"/>
    <n v="1300"/>
    <n v="0"/>
    <m/>
    <n v="44430"/>
  </r>
  <r>
    <s v="DPI"/>
    <x v="0"/>
    <x v="0"/>
    <x v="0"/>
    <x v="23"/>
    <x v="0"/>
    <s v="JNST"/>
    <s v="CK-29"/>
    <s v="EAST VANCOUVER ISLAND-NORTH_FA_0.x"/>
    <s v="M"/>
    <s v="H"/>
    <s v="Memekay River H"/>
    <x v="0"/>
    <s v="CK-29"/>
    <s v="EAST VANCOUVER ISLAND-NORTH_FA_0.x"/>
    <x v="0"/>
    <s v="AD2407"/>
    <n v="2025"/>
    <s v="20250429"/>
    <s v="20250429"/>
    <n v="5"/>
    <s v="P"/>
    <s v="N"/>
    <m/>
    <n v="1"/>
    <m/>
    <n v="0"/>
    <n v="0"/>
    <s v="AD"/>
    <n v="93256"/>
    <n v="0"/>
    <m/>
    <n v="93256"/>
  </r>
  <r>
    <s v="OPS"/>
    <x v="1"/>
    <x v="0"/>
    <x v="0"/>
    <x v="24"/>
    <x v="0"/>
    <s v="JNST"/>
    <s v="CK-29"/>
    <s v="EAST VANCOUVER ISLAND-NORTH_FA_0.x"/>
    <s v="M"/>
    <s v="H"/>
    <s v="Quinsam River H"/>
    <x v="2"/>
    <s v="CK-29"/>
    <s v="EAST VANCOUVER ISLAND-NORTH_FA_0.x"/>
    <x v="0"/>
    <s v="NOCN1014"/>
    <n v="2011"/>
    <s v="20110504"/>
    <s v="20110504"/>
    <n v="6.1"/>
    <s v="P"/>
    <s v="N"/>
    <m/>
    <n v="1"/>
    <m/>
    <n v="0"/>
    <n v="0"/>
    <m/>
    <n v="0"/>
    <n v="0"/>
    <n v="40172"/>
    <n v="40172"/>
  </r>
  <r>
    <s v="PIP"/>
    <x v="2"/>
    <x v="0"/>
    <x v="0"/>
    <x v="23"/>
    <x v="0"/>
    <s v="JNST"/>
    <s v="CK-29"/>
    <s v="EAST VANCOUVER ISLAND-NORTH_FA_0.x"/>
    <s v="M"/>
    <s v="H"/>
    <s v="Campbell River Schools"/>
    <x v="0"/>
    <s v="CK-29"/>
    <s v="EAST VANCOUVER ISLAND-NORTH_FA_0.x"/>
    <x v="1"/>
    <s v="NOCN2429"/>
    <n v="2025"/>
    <s v="20250314"/>
    <s v="20250402"/>
    <m/>
    <s v="P"/>
    <s v="N"/>
    <m/>
    <n v="1"/>
    <m/>
    <n v="0"/>
    <n v="0"/>
    <m/>
    <n v="0"/>
    <n v="0"/>
    <n v="89"/>
    <n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A6ED5-3F6F-431E-A58E-41C718D1C99C}" name="RelPivot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4" indent="0" outline="1" outlineData="1" multipleFieldFilters="0">
  <location ref="A4:B57" firstHeaderRow="1" firstDataRow="3" firstDataCol="1" rowPageCount="2" colPageCount="1"/>
  <pivotFields count="33">
    <pivotField showAll="0"/>
    <pivotField axis="axisPage" showAll="0">
      <items count="4">
        <item x="2"/>
        <item x="1"/>
        <item x="0"/>
        <item t="default"/>
      </items>
    </pivotField>
    <pivotField axis="axisCol" showAll="0" defaultSubtotal="0">
      <items count="1">
        <item x="0"/>
      </items>
    </pivotField>
    <pivotField axis="axisCol" showAll="0">
      <items count="2">
        <item x="0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4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5"/>
    <field x="4"/>
    <field x="12"/>
  </rowFields>
  <rowItems count="51">
    <i>
      <x/>
    </i>
    <i r="1">
      <x/>
    </i>
    <i r="2">
      <x v="2"/>
    </i>
    <i r="1">
      <x v="1"/>
    </i>
    <i r="2">
      <x v="2"/>
    </i>
    <i r="1">
      <x v="2"/>
    </i>
    <i r="2">
      <x v="2"/>
    </i>
    <i r="1">
      <x v="3"/>
    </i>
    <i r="2">
      <x v="2"/>
    </i>
    <i r="1">
      <x v="4"/>
    </i>
    <i r="2">
      <x v="2"/>
    </i>
    <i r="1">
      <x v="5"/>
    </i>
    <i r="2">
      <x v="2"/>
    </i>
    <i r="1">
      <x v="6"/>
    </i>
    <i r="2">
      <x v="2"/>
    </i>
    <i r="1">
      <x v="7"/>
    </i>
    <i r="2">
      <x v="2"/>
    </i>
    <i r="1">
      <x v="8"/>
    </i>
    <i r="2">
      <x v="2"/>
    </i>
    <i r="1">
      <x v="9"/>
    </i>
    <i r="2">
      <x v="2"/>
    </i>
    <i r="1">
      <x v="10"/>
    </i>
    <i r="2">
      <x/>
    </i>
    <i r="1">
      <x v="11"/>
    </i>
    <i r="2">
      <x v="2"/>
    </i>
    <i r="1">
      <x v="12"/>
    </i>
    <i r="2">
      <x v="2"/>
    </i>
    <i r="1">
      <x v="13"/>
    </i>
    <i r="2">
      <x v="2"/>
    </i>
    <i r="1">
      <x v="14"/>
    </i>
    <i r="2">
      <x v="2"/>
    </i>
    <i r="1">
      <x v="15"/>
    </i>
    <i r="2">
      <x v="2"/>
    </i>
    <i r="1">
      <x v="16"/>
    </i>
    <i r="2">
      <x v="1"/>
    </i>
    <i r="1">
      <x v="17"/>
    </i>
    <i r="2">
      <x v="2"/>
    </i>
    <i r="1">
      <x v="18"/>
    </i>
    <i r="2">
      <x v="1"/>
    </i>
    <i r="1">
      <x v="19"/>
    </i>
    <i r="2">
      <x v="2"/>
    </i>
    <i r="1">
      <x v="20"/>
    </i>
    <i r="2">
      <x v="2"/>
    </i>
    <i r="1">
      <x v="21"/>
    </i>
    <i r="2">
      <x v="2"/>
    </i>
    <i r="1">
      <x v="22"/>
    </i>
    <i r="2">
      <x v="2"/>
    </i>
    <i r="1">
      <x v="23"/>
    </i>
    <i r="2">
      <x v="2"/>
    </i>
    <i r="1">
      <x v="24"/>
    </i>
    <i r="2">
      <x v="2"/>
    </i>
  </rowItems>
  <colFields count="2">
    <field x="2"/>
    <field x="3"/>
  </colFields>
  <colItems count="1">
    <i>
      <x/>
      <x/>
    </i>
  </colItems>
  <pageFields count="2">
    <pageField fld="15" hier="-1"/>
    <pageField fld="1" hier="-1"/>
  </pageFields>
  <dataFields count="1">
    <dataField name="Total Release" fld="32" baseField="0" baseItem="0" numFmtId="3"/>
  </dataFields>
  <formats count="3"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fieldPosition="0">
        <references count="2">
          <reference field="2" count="0" selected="0"/>
          <reference field="3" count="0"/>
        </references>
      </pivotArea>
    </format>
    <format dxfId="0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E195-5964-4F6E-9AA9-BE85531046DD}">
  <sheetPr>
    <tabColor rgb="FFFF0000"/>
    <pageSetUpPr fitToPage="1"/>
  </sheetPr>
  <dimension ref="A1:B19"/>
  <sheetViews>
    <sheetView workbookViewId="0">
      <selection sqref="A1:B19"/>
    </sheetView>
  </sheetViews>
  <sheetFormatPr defaultRowHeight="15" x14ac:dyDescent="0.25"/>
  <cols>
    <col min="1" max="1" width="19.85546875" customWidth="1"/>
    <col min="2" max="2" width="100.7109375" customWidth="1"/>
  </cols>
  <sheetData>
    <row r="1" spans="1:2" ht="30" x14ac:dyDescent="0.25">
      <c r="A1" s="1"/>
      <c r="B1" s="2" t="s">
        <v>0</v>
      </c>
    </row>
    <row r="2" spans="1:2" ht="60" x14ac:dyDescent="0.25">
      <c r="A2" s="3"/>
      <c r="B2" s="3" t="s">
        <v>1</v>
      </c>
    </row>
    <row r="3" spans="1:2" x14ac:dyDescent="0.25">
      <c r="A3" s="3"/>
      <c r="B3" s="3"/>
    </row>
    <row r="4" spans="1:2" ht="30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1" spans="1:2" ht="30" x14ac:dyDescent="0.25">
      <c r="A11" s="3" t="s">
        <v>16</v>
      </c>
      <c r="B11" s="3" t="s">
        <v>17</v>
      </c>
    </row>
    <row r="12" spans="1:2" ht="30" x14ac:dyDescent="0.25">
      <c r="A12" s="3" t="s">
        <v>18</v>
      </c>
      <c r="B12" s="3" t="s">
        <v>19</v>
      </c>
    </row>
    <row r="13" spans="1:2" x14ac:dyDescent="0.25">
      <c r="A13" s="3"/>
      <c r="B13" s="3"/>
    </row>
    <row r="14" spans="1:2" ht="30" x14ac:dyDescent="0.25">
      <c r="A14" s="3" t="s">
        <v>20</v>
      </c>
      <c r="B14" s="3" t="s">
        <v>21</v>
      </c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</sheetData>
  <printOptions gridLines="1"/>
  <pageMargins left="0.75" right="0.75" top="0.75" bottom="0.75" header="0.3" footer="0.3"/>
  <pageSetup fitToHeight="100"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7165-DC49-4141-950D-F02C5E8DBB8E}">
  <dimension ref="A1:AG30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3" max="13" width="25.7109375" customWidth="1"/>
  </cols>
  <sheetData>
    <row r="1" spans="1:33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2</v>
      </c>
      <c r="Z1" s="4" t="s">
        <v>4</v>
      </c>
      <c r="AA1" s="4" t="s">
        <v>6</v>
      </c>
      <c r="AB1" s="4" t="s">
        <v>8</v>
      </c>
      <c r="AC1" s="4" t="s">
        <v>10</v>
      </c>
      <c r="AD1" s="4" t="s">
        <v>12</v>
      </c>
      <c r="AE1" s="4" t="s">
        <v>14</v>
      </c>
      <c r="AF1" s="4" t="s">
        <v>46</v>
      </c>
      <c r="AG1" s="4" t="s">
        <v>18</v>
      </c>
    </row>
    <row r="2" spans="1:33" x14ac:dyDescent="0.25">
      <c r="A2" t="s">
        <v>47</v>
      </c>
      <c r="B2" t="s">
        <v>48</v>
      </c>
      <c r="C2" t="s">
        <v>49</v>
      </c>
      <c r="D2" t="s">
        <v>50</v>
      </c>
      <c r="E2">
        <v>1984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51</v>
      </c>
      <c r="N2" t="s">
        <v>53</v>
      </c>
      <c r="O2" t="s">
        <v>54</v>
      </c>
      <c r="P2" t="s">
        <v>58</v>
      </c>
      <c r="Q2" t="s">
        <v>59</v>
      </c>
      <c r="R2">
        <v>1985</v>
      </c>
      <c r="S2" t="s">
        <v>60</v>
      </c>
      <c r="T2" t="s">
        <v>61</v>
      </c>
      <c r="U2">
        <v>3.8</v>
      </c>
      <c r="V2" t="s">
        <v>62</v>
      </c>
      <c r="W2" t="s">
        <v>63</v>
      </c>
      <c r="X2" t="s">
        <v>64</v>
      </c>
      <c r="Y2">
        <v>1</v>
      </c>
      <c r="AA2">
        <v>0</v>
      </c>
      <c r="AB2">
        <v>0</v>
      </c>
      <c r="AC2" t="s">
        <v>65</v>
      </c>
      <c r="AD2">
        <v>24894</v>
      </c>
      <c r="AE2">
        <v>0</v>
      </c>
      <c r="AF2">
        <v>117</v>
      </c>
      <c r="AG2">
        <v>25011</v>
      </c>
    </row>
    <row r="3" spans="1:33" x14ac:dyDescent="0.25">
      <c r="A3" t="s">
        <v>47</v>
      </c>
      <c r="B3" t="s">
        <v>48</v>
      </c>
      <c r="C3" t="s">
        <v>49</v>
      </c>
      <c r="D3" t="s">
        <v>50</v>
      </c>
      <c r="E3">
        <v>1985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51</v>
      </c>
      <c r="N3" t="s">
        <v>53</v>
      </c>
      <c r="O3" t="s">
        <v>54</v>
      </c>
      <c r="P3" t="s">
        <v>66</v>
      </c>
      <c r="Q3" t="s">
        <v>67</v>
      </c>
      <c r="R3">
        <v>1986</v>
      </c>
      <c r="S3" t="s">
        <v>68</v>
      </c>
      <c r="T3" t="s">
        <v>69</v>
      </c>
      <c r="U3">
        <v>1.5</v>
      </c>
      <c r="V3" t="s">
        <v>70</v>
      </c>
      <c r="W3" t="s">
        <v>63</v>
      </c>
      <c r="Y3">
        <v>1</v>
      </c>
      <c r="AA3">
        <v>0</v>
      </c>
      <c r="AB3">
        <v>0</v>
      </c>
      <c r="AD3">
        <v>0</v>
      </c>
      <c r="AE3">
        <v>0</v>
      </c>
      <c r="AF3">
        <v>38686</v>
      </c>
      <c r="AG3">
        <v>38686</v>
      </c>
    </row>
    <row r="4" spans="1:33" x14ac:dyDescent="0.25">
      <c r="A4" t="s">
        <v>47</v>
      </c>
      <c r="B4" t="s">
        <v>48</v>
      </c>
      <c r="C4" t="s">
        <v>49</v>
      </c>
      <c r="D4" t="s">
        <v>50</v>
      </c>
      <c r="E4">
        <v>1985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51</v>
      </c>
      <c r="N4" t="s">
        <v>53</v>
      </c>
      <c r="O4" t="s">
        <v>54</v>
      </c>
      <c r="P4" t="s">
        <v>66</v>
      </c>
      <c r="Q4" t="s">
        <v>71</v>
      </c>
      <c r="R4">
        <v>1986</v>
      </c>
      <c r="S4" t="s">
        <v>72</v>
      </c>
      <c r="T4" t="s">
        <v>73</v>
      </c>
      <c r="U4">
        <v>2.25</v>
      </c>
      <c r="V4" t="s">
        <v>70</v>
      </c>
      <c r="W4" t="s">
        <v>63</v>
      </c>
      <c r="X4" t="s">
        <v>74</v>
      </c>
      <c r="Y4">
        <v>1</v>
      </c>
      <c r="AA4">
        <v>0</v>
      </c>
      <c r="AB4">
        <v>0</v>
      </c>
      <c r="AC4" t="s">
        <v>75</v>
      </c>
      <c r="AD4">
        <v>14314</v>
      </c>
      <c r="AE4">
        <v>0</v>
      </c>
      <c r="AG4">
        <v>14314</v>
      </c>
    </row>
    <row r="5" spans="1:33" x14ac:dyDescent="0.25">
      <c r="A5" t="s">
        <v>47</v>
      </c>
      <c r="B5" t="s">
        <v>48</v>
      </c>
      <c r="C5" t="s">
        <v>49</v>
      </c>
      <c r="D5" t="s">
        <v>50</v>
      </c>
      <c r="E5">
        <v>1986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51</v>
      </c>
      <c r="N5" t="s">
        <v>53</v>
      </c>
      <c r="O5" t="s">
        <v>54</v>
      </c>
      <c r="P5" t="s">
        <v>58</v>
      </c>
      <c r="Q5" t="s">
        <v>76</v>
      </c>
      <c r="R5">
        <v>1987</v>
      </c>
      <c r="S5" t="s">
        <v>77</v>
      </c>
      <c r="T5" t="s">
        <v>78</v>
      </c>
      <c r="U5">
        <v>5</v>
      </c>
      <c r="V5" t="s">
        <v>62</v>
      </c>
      <c r="W5" t="s">
        <v>63</v>
      </c>
      <c r="Y5">
        <v>1</v>
      </c>
      <c r="AA5">
        <v>0</v>
      </c>
      <c r="AB5">
        <v>0</v>
      </c>
      <c r="AD5">
        <v>0</v>
      </c>
      <c r="AE5">
        <v>0</v>
      </c>
      <c r="AF5">
        <v>158000</v>
      </c>
      <c r="AG5">
        <v>158000</v>
      </c>
    </row>
    <row r="6" spans="1:33" x14ac:dyDescent="0.25">
      <c r="A6" t="s">
        <v>47</v>
      </c>
      <c r="B6" t="s">
        <v>48</v>
      </c>
      <c r="C6" t="s">
        <v>49</v>
      </c>
      <c r="D6" t="s">
        <v>50</v>
      </c>
      <c r="E6">
        <v>1987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51</v>
      </c>
      <c r="N6" t="s">
        <v>53</v>
      </c>
      <c r="O6" t="s">
        <v>54</v>
      </c>
      <c r="P6" t="s">
        <v>58</v>
      </c>
      <c r="Q6" t="s">
        <v>79</v>
      </c>
      <c r="R6">
        <v>1988</v>
      </c>
      <c r="S6" t="s">
        <v>80</v>
      </c>
      <c r="T6" t="s">
        <v>81</v>
      </c>
      <c r="U6">
        <v>5</v>
      </c>
      <c r="V6" t="s">
        <v>62</v>
      </c>
      <c r="W6" t="s">
        <v>63</v>
      </c>
      <c r="Y6">
        <v>1</v>
      </c>
      <c r="AA6">
        <v>0</v>
      </c>
      <c r="AB6">
        <v>0</v>
      </c>
      <c r="AD6">
        <v>0</v>
      </c>
      <c r="AE6">
        <v>0</v>
      </c>
      <c r="AF6">
        <v>185000</v>
      </c>
      <c r="AG6">
        <v>185000</v>
      </c>
    </row>
    <row r="7" spans="1:33" x14ac:dyDescent="0.25">
      <c r="A7" t="s">
        <v>47</v>
      </c>
      <c r="B7" t="s">
        <v>48</v>
      </c>
      <c r="C7" t="s">
        <v>49</v>
      </c>
      <c r="D7" t="s">
        <v>50</v>
      </c>
      <c r="E7">
        <v>1988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51</v>
      </c>
      <c r="N7" t="s">
        <v>53</v>
      </c>
      <c r="O7" t="s">
        <v>54</v>
      </c>
      <c r="P7" t="s">
        <v>58</v>
      </c>
      <c r="Q7" t="s">
        <v>82</v>
      </c>
      <c r="R7">
        <v>1989</v>
      </c>
      <c r="S7" t="s">
        <v>83</v>
      </c>
      <c r="T7" t="s">
        <v>84</v>
      </c>
      <c r="U7">
        <v>5</v>
      </c>
      <c r="V7" t="s">
        <v>62</v>
      </c>
      <c r="W7" t="s">
        <v>63</v>
      </c>
      <c r="Y7">
        <v>1</v>
      </c>
      <c r="AA7">
        <v>0</v>
      </c>
      <c r="AB7">
        <v>0</v>
      </c>
      <c r="AD7">
        <v>0</v>
      </c>
      <c r="AE7">
        <v>0</v>
      </c>
      <c r="AF7">
        <v>4000</v>
      </c>
      <c r="AG7">
        <v>4000</v>
      </c>
    </row>
    <row r="8" spans="1:33" x14ac:dyDescent="0.25">
      <c r="A8" t="s">
        <v>47</v>
      </c>
      <c r="B8" t="s">
        <v>48</v>
      </c>
      <c r="C8" t="s">
        <v>49</v>
      </c>
      <c r="D8" t="s">
        <v>50</v>
      </c>
      <c r="E8">
        <v>1989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51</v>
      </c>
      <c r="N8" t="s">
        <v>53</v>
      </c>
      <c r="O8" t="s">
        <v>54</v>
      </c>
      <c r="P8" t="s">
        <v>66</v>
      </c>
      <c r="Q8" t="s">
        <v>85</v>
      </c>
      <c r="R8">
        <v>1990</v>
      </c>
      <c r="S8" t="s">
        <v>86</v>
      </c>
      <c r="T8" t="s">
        <v>86</v>
      </c>
      <c r="U8">
        <v>1.5</v>
      </c>
      <c r="V8" t="s">
        <v>70</v>
      </c>
      <c r="W8" t="s">
        <v>63</v>
      </c>
      <c r="Y8">
        <v>1</v>
      </c>
      <c r="AA8">
        <v>0</v>
      </c>
      <c r="AB8">
        <v>0</v>
      </c>
      <c r="AD8">
        <v>0</v>
      </c>
      <c r="AE8">
        <v>0</v>
      </c>
      <c r="AF8">
        <v>100000</v>
      </c>
      <c r="AG8">
        <v>100000</v>
      </c>
    </row>
    <row r="9" spans="1:33" x14ac:dyDescent="0.25">
      <c r="A9" t="s">
        <v>47</v>
      </c>
      <c r="B9" t="s">
        <v>48</v>
      </c>
      <c r="C9" t="s">
        <v>49</v>
      </c>
      <c r="D9" t="s">
        <v>50</v>
      </c>
      <c r="E9">
        <v>1989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51</v>
      </c>
      <c r="N9" t="s">
        <v>53</v>
      </c>
      <c r="O9" t="s">
        <v>54</v>
      </c>
      <c r="P9" t="s">
        <v>58</v>
      </c>
      <c r="Q9" t="s">
        <v>87</v>
      </c>
      <c r="R9">
        <v>1990</v>
      </c>
      <c r="S9" t="s">
        <v>88</v>
      </c>
      <c r="T9" t="s">
        <v>88</v>
      </c>
      <c r="U9">
        <v>6.5</v>
      </c>
      <c r="V9" t="s">
        <v>62</v>
      </c>
      <c r="W9" t="s">
        <v>63</v>
      </c>
      <c r="Y9">
        <v>1</v>
      </c>
      <c r="AA9">
        <v>0</v>
      </c>
      <c r="AB9">
        <v>0</v>
      </c>
      <c r="AD9">
        <v>0</v>
      </c>
      <c r="AE9">
        <v>0</v>
      </c>
      <c r="AF9">
        <v>150000</v>
      </c>
      <c r="AG9">
        <v>150000</v>
      </c>
    </row>
    <row r="10" spans="1:33" x14ac:dyDescent="0.25">
      <c r="A10" t="s">
        <v>47</v>
      </c>
      <c r="B10" t="s">
        <v>48</v>
      </c>
      <c r="C10" t="s">
        <v>49</v>
      </c>
      <c r="D10" t="s">
        <v>50</v>
      </c>
      <c r="E10">
        <v>1990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51</v>
      </c>
      <c r="N10" t="s">
        <v>53</v>
      </c>
      <c r="O10" t="s">
        <v>54</v>
      </c>
      <c r="P10" t="s">
        <v>58</v>
      </c>
      <c r="Q10" t="s">
        <v>89</v>
      </c>
      <c r="R10">
        <v>1991</v>
      </c>
      <c r="S10" t="s">
        <v>90</v>
      </c>
      <c r="T10" t="s">
        <v>91</v>
      </c>
      <c r="U10">
        <v>6</v>
      </c>
      <c r="V10" t="s">
        <v>62</v>
      </c>
      <c r="W10" t="s">
        <v>63</v>
      </c>
      <c r="Y10">
        <v>1</v>
      </c>
      <c r="AA10">
        <v>0</v>
      </c>
      <c r="AB10">
        <v>0</v>
      </c>
      <c r="AD10">
        <v>0</v>
      </c>
      <c r="AE10">
        <v>0</v>
      </c>
      <c r="AF10">
        <v>170000</v>
      </c>
      <c r="AG10">
        <v>170000</v>
      </c>
    </row>
    <row r="11" spans="1:33" x14ac:dyDescent="0.25">
      <c r="A11" t="s">
        <v>47</v>
      </c>
      <c r="B11" t="s">
        <v>48</v>
      </c>
      <c r="C11" t="s">
        <v>49</v>
      </c>
      <c r="D11" t="s">
        <v>50</v>
      </c>
      <c r="E11">
        <v>1991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51</v>
      </c>
      <c r="N11" t="s">
        <v>53</v>
      </c>
      <c r="O11" t="s">
        <v>54</v>
      </c>
      <c r="P11" t="s">
        <v>58</v>
      </c>
      <c r="Q11" t="s">
        <v>92</v>
      </c>
      <c r="R11">
        <v>1992</v>
      </c>
      <c r="S11" t="s">
        <v>93</v>
      </c>
      <c r="T11" t="s">
        <v>94</v>
      </c>
      <c r="U11">
        <v>5</v>
      </c>
      <c r="V11" t="s">
        <v>62</v>
      </c>
      <c r="W11" t="s">
        <v>63</v>
      </c>
      <c r="Y11">
        <v>1</v>
      </c>
      <c r="AA11">
        <v>0</v>
      </c>
      <c r="AB11">
        <v>0</v>
      </c>
      <c r="AD11">
        <v>0</v>
      </c>
      <c r="AE11">
        <v>0</v>
      </c>
      <c r="AF11">
        <v>178000</v>
      </c>
      <c r="AG11">
        <v>178000</v>
      </c>
    </row>
    <row r="12" spans="1:33" x14ac:dyDescent="0.25">
      <c r="A12" t="s">
        <v>47</v>
      </c>
      <c r="B12" t="s">
        <v>48</v>
      </c>
      <c r="C12" t="s">
        <v>49</v>
      </c>
      <c r="D12" t="s">
        <v>50</v>
      </c>
      <c r="E12">
        <v>1992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51</v>
      </c>
      <c r="N12" t="s">
        <v>53</v>
      </c>
      <c r="O12" t="s">
        <v>54</v>
      </c>
      <c r="P12" t="s">
        <v>58</v>
      </c>
      <c r="Q12" t="s">
        <v>95</v>
      </c>
      <c r="R12">
        <v>1993</v>
      </c>
      <c r="S12" t="s">
        <v>96</v>
      </c>
      <c r="T12" t="s">
        <v>97</v>
      </c>
      <c r="U12">
        <v>5</v>
      </c>
      <c r="V12" t="s">
        <v>62</v>
      </c>
      <c r="W12" t="s">
        <v>63</v>
      </c>
      <c r="Y12">
        <v>1</v>
      </c>
      <c r="AA12">
        <v>0</v>
      </c>
      <c r="AB12">
        <v>0</v>
      </c>
      <c r="AD12">
        <v>0</v>
      </c>
      <c r="AE12">
        <v>0</v>
      </c>
      <c r="AF12">
        <v>109500</v>
      </c>
      <c r="AG12">
        <v>109500</v>
      </c>
    </row>
    <row r="13" spans="1:33" x14ac:dyDescent="0.25">
      <c r="A13" t="s">
        <v>47</v>
      </c>
      <c r="B13" t="s">
        <v>48</v>
      </c>
      <c r="C13" t="s">
        <v>49</v>
      </c>
      <c r="D13" t="s">
        <v>50</v>
      </c>
      <c r="E13">
        <v>2002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51</v>
      </c>
      <c r="N13" t="s">
        <v>53</v>
      </c>
      <c r="O13" t="s">
        <v>54</v>
      </c>
      <c r="P13" t="s">
        <v>58</v>
      </c>
      <c r="Q13" t="s">
        <v>98</v>
      </c>
      <c r="R13">
        <v>2003</v>
      </c>
      <c r="S13" t="s">
        <v>99</v>
      </c>
      <c r="T13" t="s">
        <v>99</v>
      </c>
      <c r="U13">
        <v>5</v>
      </c>
      <c r="V13" t="s">
        <v>62</v>
      </c>
      <c r="W13" t="s">
        <v>63</v>
      </c>
      <c r="Y13">
        <v>1</v>
      </c>
      <c r="AA13">
        <v>0</v>
      </c>
      <c r="AB13">
        <v>0</v>
      </c>
      <c r="AD13">
        <v>0</v>
      </c>
      <c r="AE13">
        <v>0</v>
      </c>
      <c r="AF13">
        <v>34000</v>
      </c>
      <c r="AG13">
        <v>34000</v>
      </c>
    </row>
    <row r="14" spans="1:33" x14ac:dyDescent="0.25">
      <c r="A14" t="s">
        <v>47</v>
      </c>
      <c r="B14" t="s">
        <v>48</v>
      </c>
      <c r="C14" t="s">
        <v>49</v>
      </c>
      <c r="D14" t="s">
        <v>50</v>
      </c>
      <c r="E14">
        <v>2003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100</v>
      </c>
      <c r="P14" t="s">
        <v>58</v>
      </c>
      <c r="Q14" t="s">
        <v>101</v>
      </c>
      <c r="R14">
        <v>2004</v>
      </c>
      <c r="S14" t="s">
        <v>102</v>
      </c>
      <c r="T14" t="s">
        <v>102</v>
      </c>
      <c r="U14">
        <v>5.4</v>
      </c>
      <c r="V14" t="s">
        <v>62</v>
      </c>
      <c r="W14" t="s">
        <v>103</v>
      </c>
      <c r="Y14">
        <v>1</v>
      </c>
      <c r="AA14">
        <v>0</v>
      </c>
      <c r="AB14">
        <v>0</v>
      </c>
      <c r="AD14">
        <v>0</v>
      </c>
      <c r="AE14">
        <v>0</v>
      </c>
      <c r="AF14">
        <v>37700</v>
      </c>
      <c r="AG14">
        <v>37700</v>
      </c>
    </row>
    <row r="15" spans="1:33" x14ac:dyDescent="0.25">
      <c r="A15" t="s">
        <v>47</v>
      </c>
      <c r="B15" t="s">
        <v>48</v>
      </c>
      <c r="C15" t="s">
        <v>49</v>
      </c>
      <c r="D15" t="s">
        <v>50</v>
      </c>
      <c r="E15">
        <v>2005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51</v>
      </c>
      <c r="N15" t="s">
        <v>53</v>
      </c>
      <c r="O15" t="s">
        <v>54</v>
      </c>
      <c r="P15" t="s">
        <v>58</v>
      </c>
      <c r="Q15" t="s">
        <v>104</v>
      </c>
      <c r="R15">
        <v>2006</v>
      </c>
      <c r="S15" t="s">
        <v>105</v>
      </c>
      <c r="T15" t="s">
        <v>105</v>
      </c>
      <c r="U15">
        <v>4.96</v>
      </c>
      <c r="V15" t="s">
        <v>62</v>
      </c>
      <c r="W15" t="s">
        <v>63</v>
      </c>
      <c r="Y15">
        <v>1</v>
      </c>
      <c r="AA15">
        <v>0</v>
      </c>
      <c r="AB15">
        <v>0</v>
      </c>
      <c r="AD15">
        <v>0</v>
      </c>
      <c r="AE15">
        <v>0</v>
      </c>
      <c r="AF15">
        <v>32656</v>
      </c>
      <c r="AG15">
        <v>32656</v>
      </c>
    </row>
    <row r="16" spans="1:33" x14ac:dyDescent="0.25">
      <c r="A16" t="s">
        <v>47</v>
      </c>
      <c r="B16" t="s">
        <v>48</v>
      </c>
      <c r="C16" t="s">
        <v>49</v>
      </c>
      <c r="D16" t="s">
        <v>50</v>
      </c>
      <c r="E16">
        <v>2006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51</v>
      </c>
      <c r="N16" t="s">
        <v>53</v>
      </c>
      <c r="O16" t="s">
        <v>54</v>
      </c>
      <c r="P16" t="s">
        <v>58</v>
      </c>
      <c r="Q16" t="s">
        <v>106</v>
      </c>
      <c r="R16">
        <v>2007</v>
      </c>
      <c r="S16" t="s">
        <v>107</v>
      </c>
      <c r="T16" t="s">
        <v>108</v>
      </c>
      <c r="U16">
        <v>5.2</v>
      </c>
      <c r="V16" t="s">
        <v>62</v>
      </c>
      <c r="W16" t="s">
        <v>63</v>
      </c>
      <c r="X16" t="s">
        <v>109</v>
      </c>
      <c r="Y16">
        <v>1</v>
      </c>
      <c r="AA16">
        <v>0</v>
      </c>
      <c r="AB16">
        <v>0</v>
      </c>
      <c r="AD16">
        <v>0</v>
      </c>
      <c r="AE16">
        <v>0</v>
      </c>
      <c r="AF16">
        <v>85259</v>
      </c>
      <c r="AG16">
        <v>85259</v>
      </c>
    </row>
    <row r="17" spans="1:33" x14ac:dyDescent="0.25">
      <c r="A17" t="s">
        <v>47</v>
      </c>
      <c r="B17" t="s">
        <v>48</v>
      </c>
      <c r="C17" t="s">
        <v>49</v>
      </c>
      <c r="D17" t="s">
        <v>50</v>
      </c>
      <c r="E17">
        <v>2007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M17" t="s">
        <v>51</v>
      </c>
      <c r="N17" t="s">
        <v>53</v>
      </c>
      <c r="O17" t="s">
        <v>54</v>
      </c>
      <c r="P17" t="s">
        <v>58</v>
      </c>
      <c r="Q17" t="s">
        <v>110</v>
      </c>
      <c r="R17">
        <v>2008</v>
      </c>
      <c r="S17" t="s">
        <v>111</v>
      </c>
      <c r="T17" t="s">
        <v>112</v>
      </c>
      <c r="U17">
        <v>6.46</v>
      </c>
      <c r="V17" t="s">
        <v>62</v>
      </c>
      <c r="W17" t="s">
        <v>63</v>
      </c>
      <c r="Y17">
        <v>1</v>
      </c>
      <c r="AA17">
        <v>0</v>
      </c>
      <c r="AB17">
        <v>0</v>
      </c>
      <c r="AD17">
        <v>0</v>
      </c>
      <c r="AE17">
        <v>0</v>
      </c>
      <c r="AF17">
        <v>80645</v>
      </c>
      <c r="AG17">
        <v>80645</v>
      </c>
    </row>
    <row r="18" spans="1:33" x14ac:dyDescent="0.25">
      <c r="A18" t="s">
        <v>47</v>
      </c>
      <c r="B18" t="s">
        <v>48</v>
      </c>
      <c r="C18" t="s">
        <v>49</v>
      </c>
      <c r="D18" t="s">
        <v>50</v>
      </c>
      <c r="E18">
        <v>2008</v>
      </c>
      <c r="F18" t="s">
        <v>51</v>
      </c>
      <c r="G18" t="s">
        <v>52</v>
      </c>
      <c r="H18" t="s">
        <v>53</v>
      </c>
      <c r="I18" t="s">
        <v>54</v>
      </c>
      <c r="J18" t="s">
        <v>113</v>
      </c>
      <c r="K18" t="s">
        <v>56</v>
      </c>
      <c r="L18" t="s">
        <v>57</v>
      </c>
      <c r="M18" t="s">
        <v>51</v>
      </c>
      <c r="N18" t="s">
        <v>53</v>
      </c>
      <c r="O18" t="s">
        <v>54</v>
      </c>
      <c r="P18" t="s">
        <v>58</v>
      </c>
      <c r="Q18" t="s">
        <v>114</v>
      </c>
      <c r="R18">
        <v>2009</v>
      </c>
      <c r="S18" t="s">
        <v>115</v>
      </c>
      <c r="T18" t="s">
        <v>116</v>
      </c>
      <c r="U18">
        <v>5.7</v>
      </c>
      <c r="V18" t="s">
        <v>62</v>
      </c>
      <c r="W18" t="s">
        <v>63</v>
      </c>
      <c r="Y18">
        <v>1</v>
      </c>
      <c r="AA18">
        <v>0</v>
      </c>
      <c r="AB18">
        <v>0</v>
      </c>
      <c r="AD18">
        <v>0</v>
      </c>
      <c r="AE18">
        <v>0</v>
      </c>
      <c r="AF18">
        <v>88055</v>
      </c>
      <c r="AG18">
        <v>88055</v>
      </c>
    </row>
    <row r="19" spans="1:33" x14ac:dyDescent="0.25">
      <c r="A19" t="s">
        <v>47</v>
      </c>
      <c r="B19" t="s">
        <v>48</v>
      </c>
      <c r="C19" t="s">
        <v>49</v>
      </c>
      <c r="D19" t="s">
        <v>50</v>
      </c>
      <c r="E19">
        <v>2009</v>
      </c>
      <c r="F19" t="s">
        <v>51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 t="s">
        <v>57</v>
      </c>
      <c r="M19" t="s">
        <v>51</v>
      </c>
      <c r="N19" t="s">
        <v>53</v>
      </c>
      <c r="O19" t="s">
        <v>54</v>
      </c>
      <c r="P19" t="s">
        <v>58</v>
      </c>
      <c r="Q19" t="s">
        <v>117</v>
      </c>
      <c r="R19">
        <v>2010</v>
      </c>
      <c r="S19" t="s">
        <v>118</v>
      </c>
      <c r="T19" t="s">
        <v>118</v>
      </c>
      <c r="U19">
        <v>6</v>
      </c>
      <c r="V19" t="s">
        <v>62</v>
      </c>
      <c r="W19" t="s">
        <v>63</v>
      </c>
      <c r="Y19">
        <v>1</v>
      </c>
      <c r="AA19">
        <v>0</v>
      </c>
      <c r="AB19">
        <v>0</v>
      </c>
      <c r="AD19">
        <v>0</v>
      </c>
      <c r="AE19">
        <v>0</v>
      </c>
      <c r="AF19">
        <v>88937</v>
      </c>
      <c r="AG19">
        <v>88937</v>
      </c>
    </row>
    <row r="20" spans="1:33" x14ac:dyDescent="0.25">
      <c r="A20" t="s">
        <v>140</v>
      </c>
      <c r="B20" t="s">
        <v>141</v>
      </c>
      <c r="C20" t="s">
        <v>49</v>
      </c>
      <c r="D20" t="s">
        <v>50</v>
      </c>
      <c r="E20">
        <v>2010</v>
      </c>
      <c r="F20" t="s">
        <v>51</v>
      </c>
      <c r="G20" t="s">
        <v>52</v>
      </c>
      <c r="H20" t="s">
        <v>53</v>
      </c>
      <c r="I20" t="s">
        <v>54</v>
      </c>
      <c r="J20" t="s">
        <v>55</v>
      </c>
      <c r="K20" t="s">
        <v>56</v>
      </c>
      <c r="L20" t="s">
        <v>142</v>
      </c>
      <c r="M20" t="s">
        <v>122</v>
      </c>
      <c r="N20" t="s">
        <v>53</v>
      </c>
      <c r="O20" t="s">
        <v>54</v>
      </c>
      <c r="P20" t="s">
        <v>58</v>
      </c>
      <c r="Q20" t="s">
        <v>143</v>
      </c>
      <c r="R20">
        <v>2011</v>
      </c>
      <c r="S20" t="s">
        <v>144</v>
      </c>
      <c r="T20" t="s">
        <v>144</v>
      </c>
      <c r="U20">
        <v>6.1</v>
      </c>
      <c r="V20" t="s">
        <v>62</v>
      </c>
      <c r="W20" t="s">
        <v>63</v>
      </c>
      <c r="Y20">
        <v>1</v>
      </c>
      <c r="AA20">
        <v>0</v>
      </c>
      <c r="AB20">
        <v>0</v>
      </c>
      <c r="AD20">
        <v>0</v>
      </c>
      <c r="AE20">
        <v>0</v>
      </c>
      <c r="AF20">
        <v>40172</v>
      </c>
      <c r="AG20">
        <v>40172</v>
      </c>
    </row>
    <row r="21" spans="1:33" x14ac:dyDescent="0.25">
      <c r="A21" t="s">
        <v>47</v>
      </c>
      <c r="B21" t="s">
        <v>48</v>
      </c>
      <c r="C21" t="s">
        <v>49</v>
      </c>
      <c r="D21" t="s">
        <v>50</v>
      </c>
      <c r="E21">
        <v>2012</v>
      </c>
      <c r="F21" t="s">
        <v>51</v>
      </c>
      <c r="G21" t="s">
        <v>52</v>
      </c>
      <c r="H21" t="s">
        <v>53</v>
      </c>
      <c r="I21" t="s">
        <v>54</v>
      </c>
      <c r="J21" t="s">
        <v>55</v>
      </c>
      <c r="K21" t="s">
        <v>56</v>
      </c>
      <c r="L21" t="s">
        <v>57</v>
      </c>
      <c r="M21" t="s">
        <v>51</v>
      </c>
      <c r="N21" t="s">
        <v>53</v>
      </c>
      <c r="O21" t="s">
        <v>54</v>
      </c>
      <c r="P21" t="s">
        <v>58</v>
      </c>
      <c r="Q21" t="s">
        <v>119</v>
      </c>
      <c r="R21">
        <v>2013</v>
      </c>
      <c r="S21" t="s">
        <v>120</v>
      </c>
      <c r="T21" t="s">
        <v>121</v>
      </c>
      <c r="V21" t="s">
        <v>62</v>
      </c>
      <c r="W21" t="s">
        <v>63</v>
      </c>
      <c r="Y21">
        <v>1</v>
      </c>
      <c r="AA21">
        <v>0</v>
      </c>
      <c r="AB21">
        <v>0</v>
      </c>
      <c r="AD21">
        <v>0</v>
      </c>
      <c r="AE21">
        <v>0</v>
      </c>
      <c r="AF21">
        <v>79842</v>
      </c>
      <c r="AG21">
        <v>79842</v>
      </c>
    </row>
    <row r="22" spans="1:33" x14ac:dyDescent="0.25">
      <c r="A22" t="s">
        <v>47</v>
      </c>
      <c r="B22" t="s">
        <v>48</v>
      </c>
      <c r="C22" t="s">
        <v>49</v>
      </c>
      <c r="D22" t="s">
        <v>50</v>
      </c>
      <c r="E22">
        <v>2014</v>
      </c>
      <c r="F22" t="s">
        <v>51</v>
      </c>
      <c r="G22" t="s">
        <v>52</v>
      </c>
      <c r="H22" t="s">
        <v>53</v>
      </c>
      <c r="I22" t="s">
        <v>54</v>
      </c>
      <c r="J22" t="s">
        <v>55</v>
      </c>
      <c r="K22" t="s">
        <v>56</v>
      </c>
      <c r="L22" t="s">
        <v>57</v>
      </c>
      <c r="M22" t="s">
        <v>122</v>
      </c>
      <c r="N22" t="s">
        <v>53</v>
      </c>
      <c r="O22" t="s">
        <v>54</v>
      </c>
      <c r="P22" t="s">
        <v>58</v>
      </c>
      <c r="Q22" t="s">
        <v>123</v>
      </c>
      <c r="R22">
        <v>2015</v>
      </c>
      <c r="S22" t="s">
        <v>124</v>
      </c>
      <c r="T22" t="s">
        <v>124</v>
      </c>
      <c r="U22">
        <v>6.65</v>
      </c>
      <c r="V22" t="s">
        <v>62</v>
      </c>
      <c r="W22" t="s">
        <v>63</v>
      </c>
      <c r="Y22">
        <v>1</v>
      </c>
      <c r="AA22">
        <v>0</v>
      </c>
      <c r="AB22">
        <v>0</v>
      </c>
      <c r="AD22">
        <v>0</v>
      </c>
      <c r="AE22">
        <v>0</v>
      </c>
      <c r="AF22">
        <v>75151</v>
      </c>
      <c r="AG22">
        <v>75151</v>
      </c>
    </row>
    <row r="23" spans="1:33" x14ac:dyDescent="0.25">
      <c r="A23" t="s">
        <v>47</v>
      </c>
      <c r="B23" t="s">
        <v>48</v>
      </c>
      <c r="C23" t="s">
        <v>49</v>
      </c>
      <c r="D23" t="s">
        <v>50</v>
      </c>
      <c r="E23">
        <v>2017</v>
      </c>
      <c r="F23" t="s">
        <v>51</v>
      </c>
      <c r="G23" t="s">
        <v>52</v>
      </c>
      <c r="H23" t="s">
        <v>53</v>
      </c>
      <c r="I23" t="s">
        <v>54</v>
      </c>
      <c r="J23" t="s">
        <v>55</v>
      </c>
      <c r="K23" t="s">
        <v>56</v>
      </c>
      <c r="L23" t="s">
        <v>57</v>
      </c>
      <c r="M23" t="s">
        <v>51</v>
      </c>
      <c r="N23" t="s">
        <v>53</v>
      </c>
      <c r="O23" t="s">
        <v>54</v>
      </c>
      <c r="P23" t="s">
        <v>58</v>
      </c>
      <c r="Q23" t="s">
        <v>125</v>
      </c>
      <c r="R23">
        <v>2018</v>
      </c>
      <c r="S23" t="s">
        <v>126</v>
      </c>
      <c r="T23" t="s">
        <v>126</v>
      </c>
      <c r="U23">
        <v>6.92</v>
      </c>
      <c r="V23" t="s">
        <v>62</v>
      </c>
      <c r="W23" t="s">
        <v>63</v>
      </c>
      <c r="Y23">
        <v>1</v>
      </c>
      <c r="AA23">
        <v>0</v>
      </c>
      <c r="AB23">
        <v>0</v>
      </c>
      <c r="AD23">
        <v>0</v>
      </c>
      <c r="AE23">
        <v>0</v>
      </c>
      <c r="AF23">
        <v>122186</v>
      </c>
      <c r="AG23">
        <v>122186</v>
      </c>
    </row>
    <row r="24" spans="1:33" x14ac:dyDescent="0.25">
      <c r="A24" t="s">
        <v>47</v>
      </c>
      <c r="B24" t="s">
        <v>48</v>
      </c>
      <c r="C24" t="s">
        <v>49</v>
      </c>
      <c r="D24" t="s">
        <v>50</v>
      </c>
      <c r="E24">
        <v>2020</v>
      </c>
      <c r="F24" t="s">
        <v>51</v>
      </c>
      <c r="G24" t="s">
        <v>52</v>
      </c>
      <c r="H24" t="s">
        <v>53</v>
      </c>
      <c r="I24" t="s">
        <v>54</v>
      </c>
      <c r="J24" t="s">
        <v>55</v>
      </c>
      <c r="K24" t="s">
        <v>56</v>
      </c>
      <c r="L24" t="s">
        <v>57</v>
      </c>
      <c r="M24" t="s">
        <v>51</v>
      </c>
      <c r="N24" t="s">
        <v>53</v>
      </c>
      <c r="O24" t="s">
        <v>54</v>
      </c>
      <c r="P24" t="s">
        <v>58</v>
      </c>
      <c r="Q24" t="s">
        <v>127</v>
      </c>
      <c r="R24">
        <v>2021</v>
      </c>
      <c r="S24" t="s">
        <v>128</v>
      </c>
      <c r="T24" t="s">
        <v>128</v>
      </c>
      <c r="U24">
        <v>4.3499999999999996</v>
      </c>
      <c r="V24" t="s">
        <v>62</v>
      </c>
      <c r="W24" t="s">
        <v>63</v>
      </c>
      <c r="Y24">
        <v>1</v>
      </c>
      <c r="Z24" t="s">
        <v>129</v>
      </c>
      <c r="AA24">
        <v>110547</v>
      </c>
      <c r="AB24">
        <v>1087</v>
      </c>
      <c r="AD24">
        <v>0</v>
      </c>
      <c r="AE24">
        <v>0</v>
      </c>
      <c r="AF24">
        <v>4135</v>
      </c>
      <c r="AG24">
        <v>115769</v>
      </c>
    </row>
    <row r="25" spans="1:33" x14ac:dyDescent="0.25">
      <c r="A25" t="s">
        <v>47</v>
      </c>
      <c r="B25" t="s">
        <v>48</v>
      </c>
      <c r="C25" t="s">
        <v>49</v>
      </c>
      <c r="D25" t="s">
        <v>50</v>
      </c>
      <c r="E25">
        <v>2021</v>
      </c>
      <c r="F25" t="s">
        <v>51</v>
      </c>
      <c r="G25" t="s">
        <v>52</v>
      </c>
      <c r="H25" t="s">
        <v>53</v>
      </c>
      <c r="I25" t="s">
        <v>54</v>
      </c>
      <c r="J25" t="s">
        <v>55</v>
      </c>
      <c r="K25" t="s">
        <v>56</v>
      </c>
      <c r="L25" t="s">
        <v>57</v>
      </c>
      <c r="M25" t="s">
        <v>51</v>
      </c>
      <c r="N25" t="s">
        <v>53</v>
      </c>
      <c r="O25" t="s">
        <v>54</v>
      </c>
      <c r="P25" t="s">
        <v>58</v>
      </c>
      <c r="Q25" t="s">
        <v>130</v>
      </c>
      <c r="R25">
        <v>2022</v>
      </c>
      <c r="S25" t="s">
        <v>131</v>
      </c>
      <c r="T25" t="s">
        <v>132</v>
      </c>
      <c r="U25">
        <v>5.5</v>
      </c>
      <c r="V25" t="s">
        <v>62</v>
      </c>
      <c r="W25" t="s">
        <v>63</v>
      </c>
      <c r="Y25">
        <v>1</v>
      </c>
      <c r="Z25" t="s">
        <v>129</v>
      </c>
      <c r="AA25">
        <v>105035</v>
      </c>
      <c r="AB25">
        <v>7129</v>
      </c>
      <c r="AD25">
        <v>0</v>
      </c>
      <c r="AE25">
        <v>0</v>
      </c>
      <c r="AF25">
        <v>9778</v>
      </c>
      <c r="AG25">
        <v>121942</v>
      </c>
    </row>
    <row r="26" spans="1:33" x14ac:dyDescent="0.25">
      <c r="A26" t="s">
        <v>47</v>
      </c>
      <c r="B26" t="s">
        <v>48</v>
      </c>
      <c r="C26" t="s">
        <v>49</v>
      </c>
      <c r="D26" t="s">
        <v>50</v>
      </c>
      <c r="E26">
        <v>2022</v>
      </c>
      <c r="F26" t="s">
        <v>51</v>
      </c>
      <c r="G26" t="s">
        <v>52</v>
      </c>
      <c r="H26" t="s">
        <v>53</v>
      </c>
      <c r="I26" t="s">
        <v>54</v>
      </c>
      <c r="J26" t="s">
        <v>55</v>
      </c>
      <c r="K26" t="s">
        <v>56</v>
      </c>
      <c r="L26" t="s">
        <v>57</v>
      </c>
      <c r="M26" t="s">
        <v>51</v>
      </c>
      <c r="N26" t="s">
        <v>53</v>
      </c>
      <c r="O26" t="s">
        <v>54</v>
      </c>
      <c r="P26" t="s">
        <v>58</v>
      </c>
      <c r="Q26" t="s">
        <v>133</v>
      </c>
      <c r="R26">
        <v>2023</v>
      </c>
      <c r="S26" t="s">
        <v>134</v>
      </c>
      <c r="T26" t="s">
        <v>134</v>
      </c>
      <c r="U26">
        <v>3.6</v>
      </c>
      <c r="V26" t="s">
        <v>70</v>
      </c>
      <c r="W26" t="s">
        <v>63</v>
      </c>
      <c r="Y26">
        <v>1</v>
      </c>
      <c r="Z26" t="s">
        <v>129</v>
      </c>
      <c r="AA26">
        <v>91046</v>
      </c>
      <c r="AB26">
        <v>0</v>
      </c>
      <c r="AD26">
        <v>0</v>
      </c>
      <c r="AE26">
        <v>0</v>
      </c>
      <c r="AG26">
        <v>91046</v>
      </c>
    </row>
    <row r="27" spans="1:33" x14ac:dyDescent="0.25">
      <c r="A27" t="s">
        <v>47</v>
      </c>
      <c r="B27" t="s">
        <v>48</v>
      </c>
      <c r="C27" t="s">
        <v>49</v>
      </c>
      <c r="D27" t="s">
        <v>50</v>
      </c>
      <c r="E27">
        <v>2023</v>
      </c>
      <c r="F27" t="s">
        <v>51</v>
      </c>
      <c r="G27" t="s">
        <v>52</v>
      </c>
      <c r="H27" t="s">
        <v>53</v>
      </c>
      <c r="I27" t="s">
        <v>54</v>
      </c>
      <c r="J27" t="s">
        <v>55</v>
      </c>
      <c r="K27" t="s">
        <v>56</v>
      </c>
      <c r="L27" t="s">
        <v>57</v>
      </c>
      <c r="M27" t="s">
        <v>51</v>
      </c>
      <c r="N27" t="s">
        <v>53</v>
      </c>
      <c r="O27" t="s">
        <v>54</v>
      </c>
      <c r="P27" t="s">
        <v>58</v>
      </c>
      <c r="Q27" t="s">
        <v>135</v>
      </c>
      <c r="R27">
        <v>2024</v>
      </c>
      <c r="S27" t="s">
        <v>136</v>
      </c>
      <c r="T27" t="s">
        <v>136</v>
      </c>
      <c r="U27">
        <v>5.6</v>
      </c>
      <c r="V27" t="s">
        <v>62</v>
      </c>
      <c r="W27" t="s">
        <v>63</v>
      </c>
      <c r="Y27">
        <v>1</v>
      </c>
      <c r="Z27" t="s">
        <v>129</v>
      </c>
      <c r="AA27">
        <v>51469</v>
      </c>
      <c r="AB27">
        <v>293</v>
      </c>
      <c r="AC27" t="s">
        <v>129</v>
      </c>
      <c r="AD27">
        <v>1560</v>
      </c>
      <c r="AE27">
        <v>0</v>
      </c>
      <c r="AG27">
        <v>53322</v>
      </c>
    </row>
    <row r="28" spans="1:33" x14ac:dyDescent="0.25">
      <c r="A28" t="s">
        <v>47</v>
      </c>
      <c r="B28" t="s">
        <v>48</v>
      </c>
      <c r="C28" t="s">
        <v>49</v>
      </c>
      <c r="D28" t="s">
        <v>50</v>
      </c>
      <c r="E28">
        <v>2023</v>
      </c>
      <c r="F28" t="s">
        <v>51</v>
      </c>
      <c r="G28" t="s">
        <v>52</v>
      </c>
      <c r="H28" t="s">
        <v>53</v>
      </c>
      <c r="I28" t="s">
        <v>54</v>
      </c>
      <c r="J28" t="s">
        <v>55</v>
      </c>
      <c r="K28" t="s">
        <v>56</v>
      </c>
      <c r="L28" t="s">
        <v>57</v>
      </c>
      <c r="M28" t="s">
        <v>51</v>
      </c>
      <c r="N28" t="s">
        <v>53</v>
      </c>
      <c r="O28" t="s">
        <v>54</v>
      </c>
      <c r="P28" t="s">
        <v>58</v>
      </c>
      <c r="Q28" t="s">
        <v>137</v>
      </c>
      <c r="R28">
        <v>2024</v>
      </c>
      <c r="S28" t="s">
        <v>136</v>
      </c>
      <c r="T28" t="s">
        <v>136</v>
      </c>
      <c r="U28">
        <v>5.6</v>
      </c>
      <c r="V28" t="s">
        <v>62</v>
      </c>
      <c r="W28" t="s">
        <v>63</v>
      </c>
      <c r="Y28">
        <v>1</v>
      </c>
      <c r="Z28" t="s">
        <v>129</v>
      </c>
      <c r="AA28">
        <v>43001</v>
      </c>
      <c r="AB28">
        <v>129</v>
      </c>
      <c r="AC28" t="s">
        <v>129</v>
      </c>
      <c r="AD28">
        <v>1300</v>
      </c>
      <c r="AE28">
        <v>0</v>
      </c>
      <c r="AG28">
        <v>44430</v>
      </c>
    </row>
    <row r="29" spans="1:33" x14ac:dyDescent="0.25">
      <c r="A29" t="s">
        <v>47</v>
      </c>
      <c r="B29" t="s">
        <v>48</v>
      </c>
      <c r="C29" t="s">
        <v>49</v>
      </c>
      <c r="D29" t="s">
        <v>50</v>
      </c>
      <c r="E29">
        <v>2024</v>
      </c>
      <c r="F29" t="s">
        <v>51</v>
      </c>
      <c r="G29" t="s">
        <v>52</v>
      </c>
      <c r="H29" t="s">
        <v>53</v>
      </c>
      <c r="I29" t="s">
        <v>54</v>
      </c>
      <c r="J29" t="s">
        <v>55</v>
      </c>
      <c r="K29" t="s">
        <v>56</v>
      </c>
      <c r="L29" t="s">
        <v>57</v>
      </c>
      <c r="M29" t="s">
        <v>51</v>
      </c>
      <c r="N29" t="s">
        <v>53</v>
      </c>
      <c r="O29" t="s">
        <v>54</v>
      </c>
      <c r="P29" t="s">
        <v>58</v>
      </c>
      <c r="Q29" t="s">
        <v>138</v>
      </c>
      <c r="R29">
        <v>2025</v>
      </c>
      <c r="S29" t="s">
        <v>139</v>
      </c>
      <c r="T29" t="s">
        <v>139</v>
      </c>
      <c r="U29">
        <v>5</v>
      </c>
      <c r="V29" t="s">
        <v>62</v>
      </c>
      <c r="W29" t="s">
        <v>63</v>
      </c>
      <c r="Y29">
        <v>1</v>
      </c>
      <c r="AA29">
        <v>0</v>
      </c>
      <c r="AB29">
        <v>0</v>
      </c>
      <c r="AC29" t="s">
        <v>129</v>
      </c>
      <c r="AD29">
        <v>93256</v>
      </c>
      <c r="AE29">
        <v>0</v>
      </c>
      <c r="AG29">
        <v>93256</v>
      </c>
    </row>
    <row r="30" spans="1:33" x14ac:dyDescent="0.25">
      <c r="A30" t="s">
        <v>145</v>
      </c>
      <c r="B30" t="s">
        <v>146</v>
      </c>
      <c r="C30" t="s">
        <v>49</v>
      </c>
      <c r="D30" t="s">
        <v>50</v>
      </c>
      <c r="E30">
        <v>2024</v>
      </c>
      <c r="F30" t="s">
        <v>51</v>
      </c>
      <c r="G30" t="s">
        <v>52</v>
      </c>
      <c r="H30" t="s">
        <v>53</v>
      </c>
      <c r="I30" t="s">
        <v>54</v>
      </c>
      <c r="J30" t="s">
        <v>55</v>
      </c>
      <c r="K30" t="s">
        <v>56</v>
      </c>
      <c r="L30" t="s">
        <v>147</v>
      </c>
      <c r="M30" t="s">
        <v>51</v>
      </c>
      <c r="N30" t="s">
        <v>53</v>
      </c>
      <c r="O30" t="s">
        <v>54</v>
      </c>
      <c r="P30" t="s">
        <v>66</v>
      </c>
      <c r="Q30" t="s">
        <v>148</v>
      </c>
      <c r="R30">
        <v>2025</v>
      </c>
      <c r="S30" t="s">
        <v>149</v>
      </c>
      <c r="T30" t="s">
        <v>150</v>
      </c>
      <c r="V30" t="s">
        <v>62</v>
      </c>
      <c r="W30" t="s">
        <v>63</v>
      </c>
      <c r="Y30">
        <v>1</v>
      </c>
      <c r="AA30">
        <v>0</v>
      </c>
      <c r="AB30">
        <v>0</v>
      </c>
      <c r="AD30">
        <v>0</v>
      </c>
      <c r="AE30">
        <v>0</v>
      </c>
      <c r="AF30">
        <v>89</v>
      </c>
      <c r="AG30">
        <v>89</v>
      </c>
    </row>
  </sheetData>
  <sortState xmlns:xlrd2="http://schemas.microsoft.com/office/spreadsheetml/2017/richdata2" ref="A2:AG30">
    <sortCondition ref="E1:E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E432-2B6E-4F19-9B46-B008E0D6236B}">
  <dimension ref="A1:B57"/>
  <sheetViews>
    <sheetView workbookViewId="0"/>
  </sheetViews>
  <sheetFormatPr defaultRowHeight="15" x14ac:dyDescent="0.25"/>
  <cols>
    <col min="1" max="1" width="22.85546875" bestFit="1" customWidth="1"/>
    <col min="2" max="2" width="16.85546875" bestFit="1" customWidth="1"/>
    <col min="3" max="3" width="11.28515625" bestFit="1" customWidth="1"/>
  </cols>
  <sheetData>
    <row r="1" spans="1:2" x14ac:dyDescent="0.25">
      <c r="A1" s="5" t="s">
        <v>37</v>
      </c>
      <c r="B1" t="s">
        <v>151</v>
      </c>
    </row>
    <row r="2" spans="1:2" x14ac:dyDescent="0.25">
      <c r="A2" s="5" t="s">
        <v>23</v>
      </c>
      <c r="B2" t="s">
        <v>151</v>
      </c>
    </row>
    <row r="4" spans="1:2" x14ac:dyDescent="0.25">
      <c r="A4" s="5" t="s">
        <v>154</v>
      </c>
      <c r="B4" s="11" t="s">
        <v>153</v>
      </c>
    </row>
    <row r="5" spans="1:2" x14ac:dyDescent="0.25">
      <c r="B5" s="10" t="s">
        <v>49</v>
      </c>
    </row>
    <row r="6" spans="1:2" x14ac:dyDescent="0.25">
      <c r="A6" s="5" t="s">
        <v>152</v>
      </c>
      <c r="B6" s="10" t="s">
        <v>50</v>
      </c>
    </row>
    <row r="7" spans="1:2" x14ac:dyDescent="0.25">
      <c r="A7" s="6" t="s">
        <v>51</v>
      </c>
      <c r="B7" s="9">
        <v>2416968</v>
      </c>
    </row>
    <row r="8" spans="1:2" x14ac:dyDescent="0.25">
      <c r="A8" s="7">
        <v>1984</v>
      </c>
      <c r="B8" s="9">
        <v>25011</v>
      </c>
    </row>
    <row r="9" spans="1:2" x14ac:dyDescent="0.25">
      <c r="A9" s="8" t="s">
        <v>51</v>
      </c>
      <c r="B9" s="9">
        <v>25011</v>
      </c>
    </row>
    <row r="10" spans="1:2" x14ac:dyDescent="0.25">
      <c r="A10" s="7">
        <v>1985</v>
      </c>
      <c r="B10" s="9">
        <v>53000</v>
      </c>
    </row>
    <row r="11" spans="1:2" x14ac:dyDescent="0.25">
      <c r="A11" s="8" t="s">
        <v>51</v>
      </c>
      <c r="B11" s="9">
        <v>53000</v>
      </c>
    </row>
    <row r="12" spans="1:2" x14ac:dyDescent="0.25">
      <c r="A12" s="7">
        <v>1986</v>
      </c>
      <c r="B12" s="9">
        <v>158000</v>
      </c>
    </row>
    <row r="13" spans="1:2" x14ac:dyDescent="0.25">
      <c r="A13" s="8" t="s">
        <v>51</v>
      </c>
      <c r="B13" s="9">
        <v>158000</v>
      </c>
    </row>
    <row r="14" spans="1:2" x14ac:dyDescent="0.25">
      <c r="A14" s="7">
        <v>1987</v>
      </c>
      <c r="B14" s="9">
        <v>185000</v>
      </c>
    </row>
    <row r="15" spans="1:2" x14ac:dyDescent="0.25">
      <c r="A15" s="8" t="s">
        <v>51</v>
      </c>
      <c r="B15" s="9">
        <v>185000</v>
      </c>
    </row>
    <row r="16" spans="1:2" x14ac:dyDescent="0.25">
      <c r="A16" s="7">
        <v>1988</v>
      </c>
      <c r="B16" s="9">
        <v>4000</v>
      </c>
    </row>
    <row r="17" spans="1:2" x14ac:dyDescent="0.25">
      <c r="A17" s="8" t="s">
        <v>51</v>
      </c>
      <c r="B17" s="9">
        <v>4000</v>
      </c>
    </row>
    <row r="18" spans="1:2" x14ac:dyDescent="0.25">
      <c r="A18" s="7">
        <v>1989</v>
      </c>
      <c r="B18" s="9">
        <v>250000</v>
      </c>
    </row>
    <row r="19" spans="1:2" x14ac:dyDescent="0.25">
      <c r="A19" s="8" t="s">
        <v>51</v>
      </c>
      <c r="B19" s="9">
        <v>250000</v>
      </c>
    </row>
    <row r="20" spans="1:2" x14ac:dyDescent="0.25">
      <c r="A20" s="7">
        <v>1990</v>
      </c>
      <c r="B20" s="9">
        <v>170000</v>
      </c>
    </row>
    <row r="21" spans="1:2" x14ac:dyDescent="0.25">
      <c r="A21" s="8" t="s">
        <v>51</v>
      </c>
      <c r="B21" s="9">
        <v>170000</v>
      </c>
    </row>
    <row r="22" spans="1:2" x14ac:dyDescent="0.25">
      <c r="A22" s="7">
        <v>1991</v>
      </c>
      <c r="B22" s="9">
        <v>178000</v>
      </c>
    </row>
    <row r="23" spans="1:2" x14ac:dyDescent="0.25">
      <c r="A23" s="8" t="s">
        <v>51</v>
      </c>
      <c r="B23" s="9">
        <v>178000</v>
      </c>
    </row>
    <row r="24" spans="1:2" x14ac:dyDescent="0.25">
      <c r="A24" s="7">
        <v>1992</v>
      </c>
      <c r="B24" s="9">
        <v>109500</v>
      </c>
    </row>
    <row r="25" spans="1:2" x14ac:dyDescent="0.25">
      <c r="A25" s="8" t="s">
        <v>51</v>
      </c>
      <c r="B25" s="9">
        <v>109500</v>
      </c>
    </row>
    <row r="26" spans="1:2" x14ac:dyDescent="0.25">
      <c r="A26" s="7">
        <v>2002</v>
      </c>
      <c r="B26" s="9">
        <v>34000</v>
      </c>
    </row>
    <row r="27" spans="1:2" x14ac:dyDescent="0.25">
      <c r="A27" s="8" t="s">
        <v>51</v>
      </c>
      <c r="B27" s="9">
        <v>34000</v>
      </c>
    </row>
    <row r="28" spans="1:2" x14ac:dyDescent="0.25">
      <c r="A28" s="7">
        <v>2003</v>
      </c>
      <c r="B28" s="9">
        <v>37700</v>
      </c>
    </row>
    <row r="29" spans="1:2" x14ac:dyDescent="0.25">
      <c r="A29" s="8" t="s">
        <v>100</v>
      </c>
      <c r="B29" s="9">
        <v>37700</v>
      </c>
    </row>
    <row r="30" spans="1:2" x14ac:dyDescent="0.25">
      <c r="A30" s="7">
        <v>2005</v>
      </c>
      <c r="B30" s="9">
        <v>32656</v>
      </c>
    </row>
    <row r="31" spans="1:2" x14ac:dyDescent="0.25">
      <c r="A31" s="8" t="s">
        <v>51</v>
      </c>
      <c r="B31" s="9">
        <v>32656</v>
      </c>
    </row>
    <row r="32" spans="1:2" x14ac:dyDescent="0.25">
      <c r="A32" s="7">
        <v>2006</v>
      </c>
      <c r="B32" s="9">
        <v>85259</v>
      </c>
    </row>
    <row r="33" spans="1:2" x14ac:dyDescent="0.25">
      <c r="A33" s="8" t="s">
        <v>51</v>
      </c>
      <c r="B33" s="9">
        <v>85259</v>
      </c>
    </row>
    <row r="34" spans="1:2" x14ac:dyDescent="0.25">
      <c r="A34" s="7">
        <v>2007</v>
      </c>
      <c r="B34" s="9">
        <v>80645</v>
      </c>
    </row>
    <row r="35" spans="1:2" x14ac:dyDescent="0.25">
      <c r="A35" s="8" t="s">
        <v>51</v>
      </c>
      <c r="B35" s="9">
        <v>80645</v>
      </c>
    </row>
    <row r="36" spans="1:2" x14ac:dyDescent="0.25">
      <c r="A36" s="7">
        <v>2008</v>
      </c>
      <c r="B36" s="9">
        <v>88055</v>
      </c>
    </row>
    <row r="37" spans="1:2" x14ac:dyDescent="0.25">
      <c r="A37" s="8" t="s">
        <v>51</v>
      </c>
      <c r="B37" s="9">
        <v>88055</v>
      </c>
    </row>
    <row r="38" spans="1:2" x14ac:dyDescent="0.25">
      <c r="A38" s="7">
        <v>2009</v>
      </c>
      <c r="B38" s="9">
        <v>88937</v>
      </c>
    </row>
    <row r="39" spans="1:2" x14ac:dyDescent="0.25">
      <c r="A39" s="8" t="s">
        <v>51</v>
      </c>
      <c r="B39" s="9">
        <v>88937</v>
      </c>
    </row>
    <row r="40" spans="1:2" x14ac:dyDescent="0.25">
      <c r="A40" s="7">
        <v>2010</v>
      </c>
      <c r="B40" s="9">
        <v>40172</v>
      </c>
    </row>
    <row r="41" spans="1:2" x14ac:dyDescent="0.25">
      <c r="A41" s="8" t="s">
        <v>122</v>
      </c>
      <c r="B41" s="9">
        <v>40172</v>
      </c>
    </row>
    <row r="42" spans="1:2" x14ac:dyDescent="0.25">
      <c r="A42" s="7">
        <v>2012</v>
      </c>
      <c r="B42" s="9">
        <v>79842</v>
      </c>
    </row>
    <row r="43" spans="1:2" x14ac:dyDescent="0.25">
      <c r="A43" s="8" t="s">
        <v>51</v>
      </c>
      <c r="B43" s="9">
        <v>79842</v>
      </c>
    </row>
    <row r="44" spans="1:2" x14ac:dyDescent="0.25">
      <c r="A44" s="7">
        <v>2014</v>
      </c>
      <c r="B44" s="9">
        <v>75151</v>
      </c>
    </row>
    <row r="45" spans="1:2" x14ac:dyDescent="0.25">
      <c r="A45" s="8" t="s">
        <v>122</v>
      </c>
      <c r="B45" s="9">
        <v>75151</v>
      </c>
    </row>
    <row r="46" spans="1:2" x14ac:dyDescent="0.25">
      <c r="A46" s="7">
        <v>2017</v>
      </c>
      <c r="B46" s="9">
        <v>122186</v>
      </c>
    </row>
    <row r="47" spans="1:2" x14ac:dyDescent="0.25">
      <c r="A47" s="8" t="s">
        <v>51</v>
      </c>
      <c r="B47" s="9">
        <v>122186</v>
      </c>
    </row>
    <row r="48" spans="1:2" x14ac:dyDescent="0.25">
      <c r="A48" s="7">
        <v>2020</v>
      </c>
      <c r="B48" s="9">
        <v>115769</v>
      </c>
    </row>
    <row r="49" spans="1:2" x14ac:dyDescent="0.25">
      <c r="A49" s="8" t="s">
        <v>51</v>
      </c>
      <c r="B49" s="9">
        <v>115769</v>
      </c>
    </row>
    <row r="50" spans="1:2" x14ac:dyDescent="0.25">
      <c r="A50" s="7">
        <v>2021</v>
      </c>
      <c r="B50" s="9">
        <v>121942</v>
      </c>
    </row>
    <row r="51" spans="1:2" x14ac:dyDescent="0.25">
      <c r="A51" s="8" t="s">
        <v>51</v>
      </c>
      <c r="B51" s="9">
        <v>121942</v>
      </c>
    </row>
    <row r="52" spans="1:2" x14ac:dyDescent="0.25">
      <c r="A52" s="7">
        <v>2022</v>
      </c>
      <c r="B52" s="9">
        <v>91046</v>
      </c>
    </row>
    <row r="53" spans="1:2" x14ac:dyDescent="0.25">
      <c r="A53" s="8" t="s">
        <v>51</v>
      </c>
      <c r="B53" s="9">
        <v>91046</v>
      </c>
    </row>
    <row r="54" spans="1:2" x14ac:dyDescent="0.25">
      <c r="A54" s="7">
        <v>2023</v>
      </c>
      <c r="B54" s="9">
        <v>97752</v>
      </c>
    </row>
    <row r="55" spans="1:2" x14ac:dyDescent="0.25">
      <c r="A55" s="8" t="s">
        <v>51</v>
      </c>
      <c r="B55" s="9">
        <v>97752</v>
      </c>
    </row>
    <row r="56" spans="1:2" x14ac:dyDescent="0.25">
      <c r="A56" s="7">
        <v>2024</v>
      </c>
      <c r="B56" s="9">
        <v>93345</v>
      </c>
    </row>
    <row r="57" spans="1:2" x14ac:dyDescent="0.25">
      <c r="A57" s="8" t="s">
        <v>51</v>
      </c>
      <c r="B57" s="9">
        <v>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Actual Release</vt:lpstr>
      <vt:lpstr>Summary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Zoehner, Brendan (DFO/MPO)</dc:creator>
  <cp:lastModifiedBy>Zoehner, Brendan (DFO/MPO)</cp:lastModifiedBy>
  <dcterms:created xsi:type="dcterms:W3CDTF">2025-10-08T15:01:33Z</dcterms:created>
  <dcterms:modified xsi:type="dcterms:W3CDTF">2025-10-08T15:09:00Z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2025-10-08T15:01:33Z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87644404-c74c-47a0-b980-c781814d8a2c</vt:lpwstr>
  </property>
  <property fmtid="{D5CDD505-2E9C-101B-9397-08002B2CF9AE}" pid="8" name="MSIP_Label_4e6cdb53-fd15-486d-84de-c510e3a62203_ContentBits">
    <vt:lpwstr>1</vt:lpwstr>
  </property>
</Properties>
</file>