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86gc.sharepoint.com/sites/SPAStrategicPlanningandAssessment/Shared Documents/SPA Shared File Storage/Planning/South Coast/3. All sites/FSAR - Upper SOG Chinook/"/>
    </mc:Choice>
  </mc:AlternateContent>
  <xr:revisionPtr revIDLastSave="278" documentId="8_{CBD8C0AF-3B34-479E-BCF3-4AADDCA09D56}" xr6:coauthVersionLast="47" xr6:coauthVersionMax="47" xr10:uidLastSave="{E5D02303-F7FC-4898-B895-DA1754C28A2A}"/>
  <bookViews>
    <workbookView xWindow="-120" yWindow="-120" windowWidth="29040" windowHeight="15720" activeTab="3" xr2:uid="{97C3C028-C868-4583-855C-DACC9B3BCD6B}"/>
  </bookViews>
  <sheets>
    <sheet name="Quinsam" sheetId="1" r:id="rId1"/>
    <sheet name="Phillips" sheetId="2" r:id="rId2"/>
    <sheet name="Nimpkish_Woss" sheetId="3" r:id="rId3"/>
    <sheet name="Salmon River" sheetId="4" r:id="rId4"/>
    <sheet name="Campbell Riv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4" l="1"/>
  <c r="D50" i="4" s="1"/>
  <c r="B49" i="4"/>
  <c r="D49" i="4" s="1"/>
  <c r="D48" i="4"/>
  <c r="D45" i="4"/>
  <c r="D42" i="4"/>
  <c r="D40" i="4"/>
  <c r="D38" i="4"/>
  <c r="D37" i="4"/>
  <c r="D36" i="4"/>
  <c r="D35" i="4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6" i="5"/>
  <c r="D48" i="3"/>
  <c r="D46" i="3"/>
  <c r="C48" i="3"/>
  <c r="C46" i="3"/>
  <c r="B48" i="3"/>
  <c r="B46" i="3"/>
  <c r="D52" i="2"/>
  <c r="C52" i="2"/>
  <c r="D52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<sst xmlns="http://schemas.openxmlformats.org/spreadsheetml/2006/main" count="487" uniqueCount="32">
  <si>
    <t>Brood Year</t>
  </si>
  <si>
    <t>pNOB</t>
  </si>
  <si>
    <t>pHOS</t>
  </si>
  <si>
    <t>PNI</t>
  </si>
  <si>
    <t>Estimate Type</t>
  </si>
  <si>
    <t>No Estimate available</t>
  </si>
  <si>
    <t>-</t>
  </si>
  <si>
    <t>CWT - Partial Direct - Quality issues due to not all ages being CWT'd</t>
  </si>
  <si>
    <t xml:space="preserve">CWT - Partial Direct  </t>
  </si>
  <si>
    <t xml:space="preserve"> -   </t>
  </si>
  <si>
    <t>CWT - Direct</t>
  </si>
  <si>
    <t>CWT - Direct pHOS- pNOB not available</t>
  </si>
  <si>
    <t>Direct - PBT - pNOB, CWT - pHOS</t>
  </si>
  <si>
    <t>Direct - PBT - pNOB, Thermal - pHOS</t>
  </si>
  <si>
    <t>Partial Direct - PBT</t>
  </si>
  <si>
    <t>Thermal - Direct</t>
  </si>
  <si>
    <t>Direct - Thermal pNOB, CWT pHOS</t>
  </si>
  <si>
    <t xml:space="preserve">No estimate </t>
  </si>
  <si>
    <t>Partial Direct - CWT</t>
  </si>
  <si>
    <t>Direct - CWT</t>
  </si>
  <si>
    <t>* BY 2020 population no longer enhanced; PNI no longer an appropriate measure as pNOB does not exist (but here it is calculated as 1-pHOS)</t>
  </si>
  <si>
    <t>Partial Direct - Thermal</t>
  </si>
  <si>
    <t xml:space="preserve">No estimate available </t>
  </si>
  <si>
    <t xml:space="preserve">Otoliths collected but not yet read </t>
  </si>
  <si>
    <t xml:space="preserve">*PBT collected for pNOB; not yet available but can be updated when it comes out </t>
  </si>
  <si>
    <t>pHOS: thermal from CR, pNOB from Quinsam PBT</t>
  </si>
  <si>
    <t>pHOS: thermal from CR, pNOB from Quinsam thermal</t>
  </si>
  <si>
    <t>pHOS: CWT from CR, pNOB from Quinsam CWT</t>
  </si>
  <si>
    <t>pHOS: thermal from CR, pNOB from Quinsam CWT</t>
  </si>
  <si>
    <t>pHOS: CWT from CR (thermals not yet read), pNOB from Quinsam PBT</t>
  </si>
  <si>
    <t>pHOS: CWT from CR (thermals not yet read), pNOB from Quinsam CWT (PBT not available yet)</t>
  </si>
  <si>
    <t>Partial Direct - 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</si>
</sst>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wrapText="1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718A-34C8-4BE5-AC33-FAE5D15684B3}">
  <dimension ref="A1:F52"/>
  <sheetViews>
    <sheetView topLeftCell="A19" workbookViewId="0">
      <selection activeCell="N23" sqref="N23"/>
    </sheetView>
  </sheetViews>
  <sheetFormatPr defaultRowHeight="15" x14ac:dyDescent="0.25"/>
  <cols>
    <col min="1" max="1" width="17.28515625" customWidth="1"/>
    <col min="2" max="2" width="13.42578125" customWidth="1"/>
    <col min="3" max="3" width="15" customWidth="1"/>
    <col min="4" max="4" width="15.85546875" customWidth="1"/>
    <col min="5" max="5" width="41" customWidth="1"/>
  </cols>
  <sheetData>
    <row r="1" spans="1:5" ht="15.75" thickBot="1" x14ac:dyDescent="0.3">
      <c r="A1" s="3" t="s">
        <v>0</v>
      </c>
      <c r="B1" s="4" t="s">
        <v>2</v>
      </c>
      <c r="C1" s="4" t="s">
        <v>1</v>
      </c>
      <c r="D1" s="4" t="s">
        <v>3</v>
      </c>
      <c r="E1" s="5" t="s">
        <v>4</v>
      </c>
    </row>
    <row r="2" spans="1:5" x14ac:dyDescent="0.25">
      <c r="A2" s="16">
        <v>1974</v>
      </c>
      <c r="B2" s="17" t="s">
        <v>6</v>
      </c>
      <c r="C2" s="17" t="s">
        <v>6</v>
      </c>
      <c r="D2" s="17" t="s">
        <v>6</v>
      </c>
      <c r="E2" s="18" t="s">
        <v>5</v>
      </c>
    </row>
    <row r="3" spans="1:5" x14ac:dyDescent="0.25">
      <c r="A3" s="1">
        <v>1975</v>
      </c>
      <c r="B3" s="6" t="s">
        <v>6</v>
      </c>
      <c r="C3" s="6" t="s">
        <v>6</v>
      </c>
      <c r="D3" s="6" t="s">
        <v>6</v>
      </c>
      <c r="E3" s="8" t="s">
        <v>5</v>
      </c>
    </row>
    <row r="4" spans="1:5" x14ac:dyDescent="0.25">
      <c r="A4" s="1">
        <v>1976</v>
      </c>
      <c r="B4" s="7" t="s">
        <v>6</v>
      </c>
      <c r="C4" s="7" t="s">
        <v>6</v>
      </c>
      <c r="D4" s="7" t="s">
        <v>6</v>
      </c>
      <c r="E4" s="8" t="s">
        <v>5</v>
      </c>
    </row>
    <row r="5" spans="1:5" ht="30" x14ac:dyDescent="0.25">
      <c r="A5" s="1">
        <v>1977</v>
      </c>
      <c r="B5" s="12">
        <v>0.15</v>
      </c>
      <c r="C5" s="12">
        <v>0.85</v>
      </c>
      <c r="D5" s="13">
        <f>C5/(C5+B5)</f>
        <v>0.85</v>
      </c>
      <c r="E5" s="11" t="s">
        <v>7</v>
      </c>
    </row>
    <row r="6" spans="1:5" ht="30" x14ac:dyDescent="0.25">
      <c r="A6" s="1">
        <v>1978</v>
      </c>
      <c r="B6" s="12">
        <v>0.13</v>
      </c>
      <c r="C6" s="12">
        <v>0.87</v>
      </c>
      <c r="D6" s="13">
        <f t="shared" ref="D6:D51" si="0">C6/(C6+B6)</f>
        <v>0.87</v>
      </c>
      <c r="E6" s="11" t="s">
        <v>7</v>
      </c>
    </row>
    <row r="7" spans="1:5" x14ac:dyDescent="0.25">
      <c r="A7" s="1">
        <v>1979</v>
      </c>
      <c r="B7" s="12">
        <v>0.51</v>
      </c>
      <c r="C7" s="12">
        <v>0.49</v>
      </c>
      <c r="D7" s="13">
        <f t="shared" si="0"/>
        <v>0.49</v>
      </c>
      <c r="E7" s="8" t="s">
        <v>8</v>
      </c>
    </row>
    <row r="8" spans="1:5" x14ac:dyDescent="0.25">
      <c r="A8" s="1">
        <v>1980</v>
      </c>
      <c r="B8" s="12">
        <v>0.77</v>
      </c>
      <c r="C8" s="12">
        <v>0.23</v>
      </c>
      <c r="D8" s="13">
        <f t="shared" si="0"/>
        <v>0.23</v>
      </c>
      <c r="E8" s="8" t="s">
        <v>8</v>
      </c>
    </row>
    <row r="9" spans="1:5" x14ac:dyDescent="0.25">
      <c r="A9" s="1">
        <v>1981</v>
      </c>
      <c r="B9" s="12">
        <v>0.76</v>
      </c>
      <c r="C9" s="12">
        <v>0.24</v>
      </c>
      <c r="D9" s="13">
        <f t="shared" si="0"/>
        <v>0.24</v>
      </c>
      <c r="E9" s="8" t="s">
        <v>8</v>
      </c>
    </row>
    <row r="10" spans="1:5" x14ac:dyDescent="0.25">
      <c r="A10" s="1">
        <v>1982</v>
      </c>
      <c r="B10" s="6">
        <v>0.56000000000000005</v>
      </c>
      <c r="C10" s="6" t="s">
        <v>9</v>
      </c>
      <c r="D10" s="13" t="s">
        <v>6</v>
      </c>
      <c r="E10" s="8" t="s">
        <v>11</v>
      </c>
    </row>
    <row r="11" spans="1:5" x14ac:dyDescent="0.25">
      <c r="A11" s="1">
        <v>1983</v>
      </c>
      <c r="B11" s="6">
        <v>0.44</v>
      </c>
      <c r="C11" s="6" t="s">
        <v>9</v>
      </c>
      <c r="D11" s="13" t="s">
        <v>6</v>
      </c>
      <c r="E11" s="8" t="s">
        <v>11</v>
      </c>
    </row>
    <row r="12" spans="1:5" x14ac:dyDescent="0.25">
      <c r="A12" s="1">
        <v>1984</v>
      </c>
      <c r="B12" s="6">
        <v>0.65</v>
      </c>
      <c r="C12" s="6">
        <v>0.15</v>
      </c>
      <c r="D12" s="13">
        <f t="shared" si="0"/>
        <v>0.18749999999999997</v>
      </c>
      <c r="E12" s="8" t="s">
        <v>10</v>
      </c>
    </row>
    <row r="13" spans="1:5" x14ac:dyDescent="0.25">
      <c r="A13" s="1">
        <v>1985</v>
      </c>
      <c r="B13" s="6">
        <v>0.86</v>
      </c>
      <c r="C13" s="6">
        <v>0.14000000000000001</v>
      </c>
      <c r="D13" s="13">
        <f t="shared" si="0"/>
        <v>0.14000000000000001</v>
      </c>
      <c r="E13" s="8" t="s">
        <v>10</v>
      </c>
    </row>
    <row r="14" spans="1:5" x14ac:dyDescent="0.25">
      <c r="A14" s="1">
        <v>1986</v>
      </c>
      <c r="B14" s="6">
        <v>0.85</v>
      </c>
      <c r="C14" s="6">
        <v>0.15</v>
      </c>
      <c r="D14" s="13">
        <f t="shared" si="0"/>
        <v>0.15</v>
      </c>
      <c r="E14" s="8" t="s">
        <v>10</v>
      </c>
    </row>
    <row r="15" spans="1:5" x14ac:dyDescent="0.25">
      <c r="A15" s="1">
        <v>1987</v>
      </c>
      <c r="B15" s="6">
        <v>0.79</v>
      </c>
      <c r="C15" s="6">
        <v>0.21</v>
      </c>
      <c r="D15" s="13">
        <f t="shared" si="0"/>
        <v>0.21</v>
      </c>
      <c r="E15" s="8" t="s">
        <v>10</v>
      </c>
    </row>
    <row r="16" spans="1:5" x14ac:dyDescent="0.25">
      <c r="A16" s="1">
        <v>1988</v>
      </c>
      <c r="B16" s="6">
        <v>0.83</v>
      </c>
      <c r="C16" s="6">
        <v>0.17</v>
      </c>
      <c r="D16" s="13">
        <f t="shared" si="0"/>
        <v>0.17</v>
      </c>
      <c r="E16" s="8" t="s">
        <v>10</v>
      </c>
    </row>
    <row r="17" spans="1:5" x14ac:dyDescent="0.25">
      <c r="A17" s="1">
        <v>1989</v>
      </c>
      <c r="B17" s="6">
        <v>0.75</v>
      </c>
      <c r="C17" s="6">
        <v>0.09</v>
      </c>
      <c r="D17" s="13">
        <f t="shared" si="0"/>
        <v>0.10714285714285714</v>
      </c>
      <c r="E17" s="8" t="s">
        <v>10</v>
      </c>
    </row>
    <row r="18" spans="1:5" x14ac:dyDescent="0.25">
      <c r="A18" s="1">
        <v>1990</v>
      </c>
      <c r="B18" s="6">
        <v>0.56999999999999995</v>
      </c>
      <c r="C18" s="6">
        <v>0.41</v>
      </c>
      <c r="D18" s="13">
        <f t="shared" si="0"/>
        <v>0.41836734693877548</v>
      </c>
      <c r="E18" s="8" t="s">
        <v>10</v>
      </c>
    </row>
    <row r="19" spans="1:5" x14ac:dyDescent="0.25">
      <c r="A19" s="1">
        <v>1991</v>
      </c>
      <c r="B19" s="6">
        <v>0.62</v>
      </c>
      <c r="C19" s="6">
        <v>0.15</v>
      </c>
      <c r="D19" s="13">
        <f t="shared" si="0"/>
        <v>0.19480519480519479</v>
      </c>
      <c r="E19" s="8" t="s">
        <v>10</v>
      </c>
    </row>
    <row r="20" spans="1:5" x14ac:dyDescent="0.25">
      <c r="A20" s="1">
        <v>1992</v>
      </c>
      <c r="B20" s="6">
        <v>0.76</v>
      </c>
      <c r="C20" s="6">
        <v>0.03</v>
      </c>
      <c r="D20" s="13">
        <f t="shared" si="0"/>
        <v>3.7974683544303792E-2</v>
      </c>
      <c r="E20" s="8" t="s">
        <v>10</v>
      </c>
    </row>
    <row r="21" spans="1:5" x14ac:dyDescent="0.25">
      <c r="A21" s="1">
        <v>1993</v>
      </c>
      <c r="B21" s="6">
        <v>0.54</v>
      </c>
      <c r="C21" s="6">
        <v>0.2</v>
      </c>
      <c r="D21" s="13">
        <f t="shared" si="0"/>
        <v>0.27027027027027029</v>
      </c>
      <c r="E21" s="8" t="s">
        <v>10</v>
      </c>
    </row>
    <row r="22" spans="1:5" x14ac:dyDescent="0.25">
      <c r="A22" s="1">
        <v>1994</v>
      </c>
      <c r="B22" s="6">
        <v>0.87</v>
      </c>
      <c r="C22" s="6">
        <v>0.15</v>
      </c>
      <c r="D22" s="13">
        <f t="shared" si="0"/>
        <v>0.14705882352941177</v>
      </c>
      <c r="E22" s="8" t="s">
        <v>10</v>
      </c>
    </row>
    <row r="23" spans="1:5" x14ac:dyDescent="0.25">
      <c r="A23" s="1">
        <v>1995</v>
      </c>
      <c r="B23" s="6">
        <v>0.44</v>
      </c>
      <c r="C23" s="6">
        <v>0.04</v>
      </c>
      <c r="D23" s="13">
        <f t="shared" si="0"/>
        <v>8.3333333333333343E-2</v>
      </c>
      <c r="E23" s="8" t="s">
        <v>10</v>
      </c>
    </row>
    <row r="24" spans="1:5" x14ac:dyDescent="0.25">
      <c r="A24" s="1">
        <v>1996</v>
      </c>
      <c r="B24" s="6">
        <v>0.51</v>
      </c>
      <c r="C24" s="6">
        <v>0.18</v>
      </c>
      <c r="D24" s="13">
        <f t="shared" si="0"/>
        <v>0.2608695652173913</v>
      </c>
      <c r="E24" s="8" t="s">
        <v>10</v>
      </c>
    </row>
    <row r="25" spans="1:5" x14ac:dyDescent="0.25">
      <c r="A25" s="1">
        <v>1997</v>
      </c>
      <c r="B25" s="6">
        <v>0.62</v>
      </c>
      <c r="C25" s="6">
        <v>0.23</v>
      </c>
      <c r="D25" s="13">
        <f t="shared" si="0"/>
        <v>0.27058823529411768</v>
      </c>
      <c r="E25" s="8" t="s">
        <v>10</v>
      </c>
    </row>
    <row r="26" spans="1:5" x14ac:dyDescent="0.25">
      <c r="A26" s="1">
        <v>1998</v>
      </c>
      <c r="B26" s="6">
        <v>0.63</v>
      </c>
      <c r="C26" s="6">
        <v>0.17</v>
      </c>
      <c r="D26" s="13">
        <f t="shared" si="0"/>
        <v>0.21249999999999999</v>
      </c>
      <c r="E26" s="8" t="s">
        <v>10</v>
      </c>
    </row>
    <row r="27" spans="1:5" x14ac:dyDescent="0.25">
      <c r="A27" s="1">
        <v>1999</v>
      </c>
      <c r="B27" s="6">
        <v>0.69</v>
      </c>
      <c r="C27" s="6">
        <v>0.16</v>
      </c>
      <c r="D27" s="13">
        <f t="shared" si="0"/>
        <v>0.18823529411764706</v>
      </c>
      <c r="E27" s="8" t="s">
        <v>10</v>
      </c>
    </row>
    <row r="28" spans="1:5" x14ac:dyDescent="0.25">
      <c r="A28" s="1">
        <v>2000</v>
      </c>
      <c r="B28" s="6">
        <v>0.74</v>
      </c>
      <c r="C28" s="6">
        <v>0.15</v>
      </c>
      <c r="D28" s="13">
        <f t="shared" si="0"/>
        <v>0.16853932584269662</v>
      </c>
      <c r="E28" s="8" t="s">
        <v>10</v>
      </c>
    </row>
    <row r="29" spans="1:5" x14ac:dyDescent="0.25">
      <c r="A29" s="1">
        <v>2001</v>
      </c>
      <c r="B29" s="6">
        <v>0.73</v>
      </c>
      <c r="C29" s="6">
        <v>0.21</v>
      </c>
      <c r="D29" s="13">
        <f t="shared" si="0"/>
        <v>0.22340425531914895</v>
      </c>
      <c r="E29" s="8" t="s">
        <v>10</v>
      </c>
    </row>
    <row r="30" spans="1:5" x14ac:dyDescent="0.25">
      <c r="A30" s="1">
        <v>2002</v>
      </c>
      <c r="B30" s="6">
        <v>0.67</v>
      </c>
      <c r="C30" s="6">
        <v>0.21</v>
      </c>
      <c r="D30" s="13">
        <f t="shared" si="0"/>
        <v>0.23863636363636362</v>
      </c>
      <c r="E30" s="8" t="s">
        <v>10</v>
      </c>
    </row>
    <row r="31" spans="1:5" x14ac:dyDescent="0.25">
      <c r="A31" s="1">
        <v>2003</v>
      </c>
      <c r="B31" s="6">
        <v>0.61</v>
      </c>
      <c r="C31" s="6">
        <v>0.08</v>
      </c>
      <c r="D31" s="13">
        <f t="shared" si="0"/>
        <v>0.11594202898550726</v>
      </c>
      <c r="E31" s="8" t="s">
        <v>10</v>
      </c>
    </row>
    <row r="32" spans="1:5" x14ac:dyDescent="0.25">
      <c r="A32" s="1">
        <v>2004</v>
      </c>
      <c r="B32" s="6">
        <v>0.96</v>
      </c>
      <c r="C32" s="6">
        <v>0.05</v>
      </c>
      <c r="D32" s="13">
        <f t="shared" si="0"/>
        <v>4.9504950495049507E-2</v>
      </c>
      <c r="E32" s="8" t="s">
        <v>15</v>
      </c>
    </row>
    <row r="33" spans="1:5" x14ac:dyDescent="0.25">
      <c r="A33" s="1">
        <v>2005</v>
      </c>
      <c r="B33" s="6">
        <v>0.97</v>
      </c>
      <c r="C33" s="6">
        <v>0.02</v>
      </c>
      <c r="D33" s="13">
        <f t="shared" si="0"/>
        <v>2.0202020202020204E-2</v>
      </c>
      <c r="E33" s="8" t="s">
        <v>15</v>
      </c>
    </row>
    <row r="34" spans="1:5" x14ac:dyDescent="0.25">
      <c r="A34" s="1">
        <v>2006</v>
      </c>
      <c r="B34" s="6">
        <v>0.91</v>
      </c>
      <c r="C34" s="6">
        <v>0.06</v>
      </c>
      <c r="D34" s="13">
        <f t="shared" si="0"/>
        <v>6.1855670103092786E-2</v>
      </c>
      <c r="E34" s="8" t="s">
        <v>15</v>
      </c>
    </row>
    <row r="35" spans="1:5" x14ac:dyDescent="0.25">
      <c r="A35" s="1">
        <v>2007</v>
      </c>
      <c r="B35" s="6">
        <v>0.79</v>
      </c>
      <c r="C35" s="6">
        <v>0.1</v>
      </c>
      <c r="D35" s="13">
        <f t="shared" si="0"/>
        <v>0.11235955056179776</v>
      </c>
      <c r="E35" s="8" t="s">
        <v>15</v>
      </c>
    </row>
    <row r="36" spans="1:5" x14ac:dyDescent="0.25">
      <c r="A36" s="1">
        <v>2008</v>
      </c>
      <c r="B36" s="6">
        <v>0.63</v>
      </c>
      <c r="C36" s="6">
        <v>0.27</v>
      </c>
      <c r="D36" s="13">
        <f t="shared" si="0"/>
        <v>0.3</v>
      </c>
      <c r="E36" s="8" t="s">
        <v>15</v>
      </c>
    </row>
    <row r="37" spans="1:5" x14ac:dyDescent="0.25">
      <c r="A37" s="1">
        <v>2009</v>
      </c>
      <c r="B37" s="6">
        <v>0.75</v>
      </c>
      <c r="C37" s="6">
        <v>0.14000000000000001</v>
      </c>
      <c r="D37" s="13">
        <f t="shared" si="0"/>
        <v>0.15730337078651688</v>
      </c>
      <c r="E37" s="8" t="s">
        <v>15</v>
      </c>
    </row>
    <row r="38" spans="1:5" x14ac:dyDescent="0.25">
      <c r="A38" s="1">
        <v>2010</v>
      </c>
      <c r="B38" s="6">
        <v>0.85</v>
      </c>
      <c r="C38" s="6">
        <v>0.13</v>
      </c>
      <c r="D38" s="13">
        <f t="shared" si="0"/>
        <v>0.1326530612244898</v>
      </c>
      <c r="E38" s="8" t="s">
        <v>15</v>
      </c>
    </row>
    <row r="39" spans="1:5" x14ac:dyDescent="0.25">
      <c r="A39" s="1">
        <v>2011</v>
      </c>
      <c r="B39" s="6">
        <v>0.89</v>
      </c>
      <c r="C39" s="6">
        <v>0.08</v>
      </c>
      <c r="D39" s="13">
        <f t="shared" si="0"/>
        <v>8.247422680412371E-2</v>
      </c>
      <c r="E39" s="8" t="s">
        <v>15</v>
      </c>
    </row>
    <row r="40" spans="1:5" x14ac:dyDescent="0.25">
      <c r="A40" s="1">
        <v>2012</v>
      </c>
      <c r="B40" s="6">
        <v>0.88</v>
      </c>
      <c r="C40" s="6">
        <v>0.13</v>
      </c>
      <c r="D40" s="13">
        <f t="shared" si="0"/>
        <v>0.12871287128712872</v>
      </c>
      <c r="E40" s="8" t="s">
        <v>15</v>
      </c>
    </row>
    <row r="41" spans="1:5" x14ac:dyDescent="0.25">
      <c r="A41" s="1">
        <v>2013</v>
      </c>
      <c r="B41" s="6">
        <v>0.76</v>
      </c>
      <c r="C41" s="6">
        <v>0.31</v>
      </c>
      <c r="D41" s="13">
        <f t="shared" si="0"/>
        <v>0.28971962616822428</v>
      </c>
      <c r="E41" s="8" t="s">
        <v>15</v>
      </c>
    </row>
    <row r="42" spans="1:5" x14ac:dyDescent="0.25">
      <c r="A42" s="1">
        <v>2014</v>
      </c>
      <c r="B42" s="6">
        <v>0.76</v>
      </c>
      <c r="C42" s="6">
        <v>0.23</v>
      </c>
      <c r="D42" s="13">
        <f t="shared" si="0"/>
        <v>0.23232323232323235</v>
      </c>
      <c r="E42" s="8" t="s">
        <v>15</v>
      </c>
    </row>
    <row r="43" spans="1:5" x14ac:dyDescent="0.25">
      <c r="A43" s="1">
        <v>2015</v>
      </c>
      <c r="B43" s="6">
        <v>0.81</v>
      </c>
      <c r="C43" s="6">
        <v>0.15</v>
      </c>
      <c r="D43" s="13">
        <f t="shared" si="0"/>
        <v>0.15624999999999997</v>
      </c>
      <c r="E43" s="8" t="s">
        <v>15</v>
      </c>
    </row>
    <row r="44" spans="1:5" x14ac:dyDescent="0.25">
      <c r="A44" s="1">
        <v>2016</v>
      </c>
      <c r="B44" s="6">
        <v>0.88</v>
      </c>
      <c r="C44" s="6">
        <v>7.0000000000000007E-2</v>
      </c>
      <c r="D44" s="13">
        <f t="shared" si="0"/>
        <v>7.3684210526315796E-2</v>
      </c>
      <c r="E44" s="8" t="s">
        <v>15</v>
      </c>
    </row>
    <row r="45" spans="1:5" x14ac:dyDescent="0.25">
      <c r="A45" s="1">
        <v>2017</v>
      </c>
      <c r="B45" s="6">
        <v>0.72</v>
      </c>
      <c r="C45" s="6">
        <v>7.0000000000000007E-2</v>
      </c>
      <c r="D45" s="13">
        <f t="shared" si="0"/>
        <v>8.8607594936708861E-2</v>
      </c>
      <c r="E45" s="8" t="s">
        <v>16</v>
      </c>
    </row>
    <row r="46" spans="1:5" x14ac:dyDescent="0.25">
      <c r="A46" s="1">
        <v>2018</v>
      </c>
      <c r="B46" s="6">
        <v>0.75</v>
      </c>
      <c r="C46" s="6">
        <v>0.04</v>
      </c>
      <c r="D46" s="13">
        <f t="shared" si="0"/>
        <v>5.0632911392405063E-2</v>
      </c>
      <c r="E46" s="8" t="s">
        <v>12</v>
      </c>
    </row>
    <row r="47" spans="1:5" x14ac:dyDescent="0.25">
      <c r="A47" s="1">
        <v>2019</v>
      </c>
      <c r="B47" s="6">
        <v>0.75</v>
      </c>
      <c r="C47" s="6">
        <v>0.13</v>
      </c>
      <c r="D47" s="13">
        <f t="shared" si="0"/>
        <v>0.14772727272727273</v>
      </c>
      <c r="E47" s="8" t="s">
        <v>12</v>
      </c>
    </row>
    <row r="48" spans="1:5" x14ac:dyDescent="0.25">
      <c r="A48" s="1">
        <v>2020</v>
      </c>
      <c r="B48" s="14">
        <v>0.87</v>
      </c>
      <c r="C48" s="6">
        <v>0.05</v>
      </c>
      <c r="D48" s="13">
        <f t="shared" si="0"/>
        <v>5.434782608695652E-2</v>
      </c>
      <c r="E48" s="8" t="s">
        <v>13</v>
      </c>
    </row>
    <row r="49" spans="1:6" x14ac:dyDescent="0.25">
      <c r="A49" s="1">
        <v>2021</v>
      </c>
      <c r="B49" s="6">
        <v>0.82</v>
      </c>
      <c r="C49" s="6">
        <v>7.0000000000000007E-2</v>
      </c>
      <c r="D49" s="13">
        <f t="shared" si="0"/>
        <v>7.8651685393258439E-2</v>
      </c>
      <c r="E49" s="8" t="s">
        <v>12</v>
      </c>
    </row>
    <row r="50" spans="1:6" x14ac:dyDescent="0.25">
      <c r="A50" s="1">
        <v>2022</v>
      </c>
      <c r="B50" s="6">
        <v>0.76</v>
      </c>
      <c r="C50" s="6">
        <v>7.0000000000000007E-2</v>
      </c>
      <c r="D50" s="13">
        <f t="shared" si="0"/>
        <v>8.4337349397590355E-2</v>
      </c>
      <c r="E50" s="8" t="s">
        <v>12</v>
      </c>
    </row>
    <row r="51" spans="1:6" x14ac:dyDescent="0.25">
      <c r="A51" s="1">
        <v>2023</v>
      </c>
      <c r="B51" s="15">
        <v>0.8</v>
      </c>
      <c r="C51" s="6">
        <v>0.2</v>
      </c>
      <c r="D51" s="13">
        <f t="shared" si="0"/>
        <v>0.2</v>
      </c>
      <c r="E51" s="8" t="s">
        <v>14</v>
      </c>
    </row>
    <row r="52" spans="1:6" ht="15.75" thickBot="1" x14ac:dyDescent="0.3">
      <c r="A52" s="2">
        <v>2024</v>
      </c>
      <c r="B52" s="9">
        <v>0.32</v>
      </c>
      <c r="C52" s="9">
        <v>0.23</v>
      </c>
      <c r="D52" s="19">
        <f>C52/(C52+B52)</f>
        <v>0.41818181818181815</v>
      </c>
      <c r="E52" s="10" t="s">
        <v>10</v>
      </c>
      <c r="F52" t="s">
        <v>24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25EC-A552-4D54-8699-84613E7A1335}">
  <dimension ref="A1:F52"/>
  <sheetViews>
    <sheetView topLeftCell="A24" workbookViewId="0">
      <selection activeCell="G51" sqref="G51"/>
    </sheetView>
  </sheetViews>
  <sheetFormatPr defaultRowHeight="15" x14ac:dyDescent="0.25"/>
  <cols>
    <col min="1" max="1" width="10.140625" bestFit="1" customWidth="1"/>
    <col min="2" max="2" width="14.5703125" customWidth="1"/>
    <col min="3" max="3" width="13.85546875" customWidth="1"/>
    <col min="4" max="4" width="17.140625" customWidth="1"/>
    <col min="5" max="5" width="38.140625" customWidth="1"/>
  </cols>
  <sheetData>
    <row r="1" spans="1:5" ht="15.75" thickBot="1" x14ac:dyDescent="0.3">
      <c r="A1" s="3" t="s">
        <v>0</v>
      </c>
      <c r="B1" s="4" t="s">
        <v>2</v>
      </c>
      <c r="C1" s="4" t="s">
        <v>1</v>
      </c>
      <c r="D1" s="4" t="s">
        <v>3</v>
      </c>
      <c r="E1" s="5" t="s">
        <v>4</v>
      </c>
    </row>
    <row r="2" spans="1:5" x14ac:dyDescent="0.25">
      <c r="A2" s="16">
        <v>1974</v>
      </c>
      <c r="B2" s="17" t="s">
        <v>6</v>
      </c>
      <c r="C2" s="17" t="s">
        <v>6</v>
      </c>
      <c r="D2" s="17" t="s">
        <v>6</v>
      </c>
      <c r="E2" s="18" t="s">
        <v>17</v>
      </c>
    </row>
    <row r="3" spans="1:5" x14ac:dyDescent="0.25">
      <c r="A3" s="1">
        <v>1975</v>
      </c>
      <c r="B3" s="6" t="s">
        <v>6</v>
      </c>
      <c r="C3" s="6" t="s">
        <v>6</v>
      </c>
      <c r="D3" s="6" t="s">
        <v>6</v>
      </c>
      <c r="E3" s="8" t="s">
        <v>17</v>
      </c>
    </row>
    <row r="4" spans="1:5" x14ac:dyDescent="0.25">
      <c r="A4" s="1">
        <v>1976</v>
      </c>
      <c r="B4" s="6" t="s">
        <v>6</v>
      </c>
      <c r="C4" s="6" t="s">
        <v>6</v>
      </c>
      <c r="D4" s="6" t="s">
        <v>6</v>
      </c>
      <c r="E4" s="8" t="s">
        <v>17</v>
      </c>
    </row>
    <row r="5" spans="1:5" x14ac:dyDescent="0.25">
      <c r="A5" s="1">
        <v>1977</v>
      </c>
      <c r="B5" s="6" t="s">
        <v>6</v>
      </c>
      <c r="C5" s="6" t="s">
        <v>6</v>
      </c>
      <c r="D5" s="6" t="s">
        <v>6</v>
      </c>
      <c r="E5" s="8" t="s">
        <v>17</v>
      </c>
    </row>
    <row r="6" spans="1:5" x14ac:dyDescent="0.25">
      <c r="A6" s="1">
        <v>1978</v>
      </c>
      <c r="B6" s="6" t="s">
        <v>6</v>
      </c>
      <c r="C6" s="6" t="s">
        <v>6</v>
      </c>
      <c r="D6" s="6" t="s">
        <v>6</v>
      </c>
      <c r="E6" s="8" t="s">
        <v>17</v>
      </c>
    </row>
    <row r="7" spans="1:5" x14ac:dyDescent="0.25">
      <c r="A7" s="1">
        <v>1979</v>
      </c>
      <c r="B7" s="6" t="s">
        <v>6</v>
      </c>
      <c r="C7" s="6" t="s">
        <v>6</v>
      </c>
      <c r="D7" s="6" t="s">
        <v>6</v>
      </c>
      <c r="E7" s="8" t="s">
        <v>17</v>
      </c>
    </row>
    <row r="8" spans="1:5" x14ac:dyDescent="0.25">
      <c r="A8" s="1">
        <v>1980</v>
      </c>
      <c r="B8" s="6" t="s">
        <v>6</v>
      </c>
      <c r="C8" s="6" t="s">
        <v>6</v>
      </c>
      <c r="D8" s="6" t="s">
        <v>6</v>
      </c>
      <c r="E8" s="8" t="s">
        <v>17</v>
      </c>
    </row>
    <row r="9" spans="1:5" x14ac:dyDescent="0.25">
      <c r="A9" s="1">
        <v>1981</v>
      </c>
      <c r="B9" s="6" t="s">
        <v>6</v>
      </c>
      <c r="C9" s="6" t="s">
        <v>6</v>
      </c>
      <c r="D9" s="6" t="s">
        <v>6</v>
      </c>
      <c r="E9" s="8" t="s">
        <v>17</v>
      </c>
    </row>
    <row r="10" spans="1:5" x14ac:dyDescent="0.25">
      <c r="A10" s="1">
        <v>1982</v>
      </c>
      <c r="B10" s="6" t="s">
        <v>6</v>
      </c>
      <c r="C10" s="6" t="s">
        <v>6</v>
      </c>
      <c r="D10" s="6" t="s">
        <v>6</v>
      </c>
      <c r="E10" s="8" t="s">
        <v>17</v>
      </c>
    </row>
    <row r="11" spans="1:5" x14ac:dyDescent="0.25">
      <c r="A11" s="1">
        <v>1983</v>
      </c>
      <c r="B11" s="6" t="s">
        <v>6</v>
      </c>
      <c r="C11" s="6" t="s">
        <v>6</v>
      </c>
      <c r="D11" s="6" t="s">
        <v>6</v>
      </c>
      <c r="E11" s="8" t="s">
        <v>17</v>
      </c>
    </row>
    <row r="12" spans="1:5" x14ac:dyDescent="0.25">
      <c r="A12" s="1">
        <v>1984</v>
      </c>
      <c r="B12" s="6" t="s">
        <v>6</v>
      </c>
      <c r="C12" s="6" t="s">
        <v>6</v>
      </c>
      <c r="D12" s="6" t="s">
        <v>6</v>
      </c>
      <c r="E12" s="8" t="s">
        <v>17</v>
      </c>
    </row>
    <row r="13" spans="1:5" x14ac:dyDescent="0.25">
      <c r="A13" s="1">
        <v>1985</v>
      </c>
      <c r="B13" s="6" t="s">
        <v>6</v>
      </c>
      <c r="C13" s="6" t="s">
        <v>6</v>
      </c>
      <c r="D13" s="6" t="s">
        <v>6</v>
      </c>
      <c r="E13" s="8" t="s">
        <v>17</v>
      </c>
    </row>
    <row r="14" spans="1:5" x14ac:dyDescent="0.25">
      <c r="A14" s="1">
        <v>1986</v>
      </c>
      <c r="B14" s="6" t="s">
        <v>6</v>
      </c>
      <c r="C14" s="6" t="s">
        <v>6</v>
      </c>
      <c r="D14" s="6" t="s">
        <v>6</v>
      </c>
      <c r="E14" s="8" t="s">
        <v>17</v>
      </c>
    </row>
    <row r="15" spans="1:5" x14ac:dyDescent="0.25">
      <c r="A15" s="1">
        <v>1987</v>
      </c>
      <c r="B15" s="6" t="s">
        <v>6</v>
      </c>
      <c r="C15" s="6" t="s">
        <v>6</v>
      </c>
      <c r="D15" s="6" t="s">
        <v>6</v>
      </c>
      <c r="E15" s="8" t="s">
        <v>17</v>
      </c>
    </row>
    <row r="16" spans="1:5" x14ac:dyDescent="0.25">
      <c r="A16" s="1">
        <v>1988</v>
      </c>
      <c r="B16" s="6" t="s">
        <v>6</v>
      </c>
      <c r="C16" s="6" t="s">
        <v>6</v>
      </c>
      <c r="D16" s="6" t="s">
        <v>6</v>
      </c>
      <c r="E16" s="8" t="s">
        <v>17</v>
      </c>
    </row>
    <row r="17" spans="1:5" x14ac:dyDescent="0.25">
      <c r="A17" s="1">
        <v>1989</v>
      </c>
      <c r="B17" s="6" t="s">
        <v>6</v>
      </c>
      <c r="C17" s="6" t="s">
        <v>6</v>
      </c>
      <c r="D17" s="6" t="s">
        <v>6</v>
      </c>
      <c r="E17" s="8" t="s">
        <v>17</v>
      </c>
    </row>
    <row r="18" spans="1:5" x14ac:dyDescent="0.25">
      <c r="A18" s="1">
        <v>1990</v>
      </c>
      <c r="B18" s="6" t="s">
        <v>6</v>
      </c>
      <c r="C18" s="6" t="s">
        <v>6</v>
      </c>
      <c r="D18" s="6" t="s">
        <v>6</v>
      </c>
      <c r="E18" s="8" t="s">
        <v>17</v>
      </c>
    </row>
    <row r="19" spans="1:5" x14ac:dyDescent="0.25">
      <c r="A19" s="1">
        <v>1991</v>
      </c>
      <c r="B19" s="6" t="s">
        <v>6</v>
      </c>
      <c r="C19" s="6" t="s">
        <v>6</v>
      </c>
      <c r="D19" s="6" t="s">
        <v>6</v>
      </c>
      <c r="E19" s="8" t="s">
        <v>17</v>
      </c>
    </row>
    <row r="20" spans="1:5" x14ac:dyDescent="0.25">
      <c r="A20" s="1">
        <v>1992</v>
      </c>
      <c r="B20" s="6" t="s">
        <v>6</v>
      </c>
      <c r="C20" s="6" t="s">
        <v>6</v>
      </c>
      <c r="D20" s="6" t="s">
        <v>6</v>
      </c>
      <c r="E20" s="8" t="s">
        <v>17</v>
      </c>
    </row>
    <row r="21" spans="1:5" x14ac:dyDescent="0.25">
      <c r="A21" s="1">
        <v>1993</v>
      </c>
      <c r="B21" s="6" t="s">
        <v>6</v>
      </c>
      <c r="C21" s="6" t="s">
        <v>6</v>
      </c>
      <c r="D21" s="6" t="s">
        <v>6</v>
      </c>
      <c r="E21" s="8" t="s">
        <v>17</v>
      </c>
    </row>
    <row r="22" spans="1:5" x14ac:dyDescent="0.25">
      <c r="A22" s="1">
        <v>1994</v>
      </c>
      <c r="B22" s="6" t="s">
        <v>6</v>
      </c>
      <c r="C22" s="6" t="s">
        <v>6</v>
      </c>
      <c r="D22" s="6" t="s">
        <v>6</v>
      </c>
      <c r="E22" s="8" t="s">
        <v>17</v>
      </c>
    </row>
    <row r="23" spans="1:5" x14ac:dyDescent="0.25">
      <c r="A23" s="1">
        <v>1995</v>
      </c>
      <c r="B23" s="6" t="s">
        <v>6</v>
      </c>
      <c r="C23" s="6" t="s">
        <v>6</v>
      </c>
      <c r="D23" s="6" t="s">
        <v>6</v>
      </c>
      <c r="E23" s="8" t="s">
        <v>17</v>
      </c>
    </row>
    <row r="24" spans="1:5" x14ac:dyDescent="0.25">
      <c r="A24" s="1">
        <v>1996</v>
      </c>
      <c r="B24" s="6" t="s">
        <v>6</v>
      </c>
      <c r="C24" s="6" t="s">
        <v>6</v>
      </c>
      <c r="D24" s="6" t="s">
        <v>6</v>
      </c>
      <c r="E24" s="8" t="s">
        <v>17</v>
      </c>
    </row>
    <row r="25" spans="1:5" x14ac:dyDescent="0.25">
      <c r="A25" s="1">
        <v>1997</v>
      </c>
      <c r="B25" s="6" t="s">
        <v>6</v>
      </c>
      <c r="C25" s="6" t="s">
        <v>6</v>
      </c>
      <c r="D25" s="6" t="s">
        <v>6</v>
      </c>
      <c r="E25" s="8" t="s">
        <v>17</v>
      </c>
    </row>
    <row r="26" spans="1:5" x14ac:dyDescent="0.25">
      <c r="A26" s="1">
        <v>1998</v>
      </c>
      <c r="B26" s="6" t="s">
        <v>6</v>
      </c>
      <c r="C26" s="6" t="s">
        <v>6</v>
      </c>
      <c r="D26" s="6" t="s">
        <v>6</v>
      </c>
      <c r="E26" s="8" t="s">
        <v>17</v>
      </c>
    </row>
    <row r="27" spans="1:5" x14ac:dyDescent="0.25">
      <c r="A27" s="1">
        <v>1999</v>
      </c>
      <c r="B27" s="6" t="s">
        <v>6</v>
      </c>
      <c r="C27" s="6" t="s">
        <v>6</v>
      </c>
      <c r="D27" s="6" t="s">
        <v>6</v>
      </c>
      <c r="E27" s="8" t="s">
        <v>17</v>
      </c>
    </row>
    <row r="28" spans="1:5" x14ac:dyDescent="0.25">
      <c r="A28" s="1">
        <v>2000</v>
      </c>
      <c r="B28" s="6" t="s">
        <v>6</v>
      </c>
      <c r="C28" s="6" t="s">
        <v>6</v>
      </c>
      <c r="D28" s="6" t="s">
        <v>6</v>
      </c>
      <c r="E28" s="8" t="s">
        <v>17</v>
      </c>
    </row>
    <row r="29" spans="1:5" x14ac:dyDescent="0.25">
      <c r="A29" s="1">
        <v>2001</v>
      </c>
      <c r="B29" s="6" t="s">
        <v>6</v>
      </c>
      <c r="C29" s="6" t="s">
        <v>6</v>
      </c>
      <c r="D29" s="6" t="s">
        <v>6</v>
      </c>
      <c r="E29" s="8" t="s">
        <v>17</v>
      </c>
    </row>
    <row r="30" spans="1:5" x14ac:dyDescent="0.25">
      <c r="A30" s="1">
        <v>2002</v>
      </c>
      <c r="B30" s="6" t="s">
        <v>6</v>
      </c>
      <c r="C30" s="6" t="s">
        <v>6</v>
      </c>
      <c r="D30" s="6" t="s">
        <v>6</v>
      </c>
      <c r="E30" s="8" t="s">
        <v>17</v>
      </c>
    </row>
    <row r="31" spans="1:5" x14ac:dyDescent="0.25">
      <c r="A31" s="1">
        <v>2003</v>
      </c>
      <c r="B31" s="6" t="s">
        <v>6</v>
      </c>
      <c r="C31" s="6" t="s">
        <v>6</v>
      </c>
      <c r="D31" s="6" t="s">
        <v>6</v>
      </c>
      <c r="E31" s="8" t="s">
        <v>17</v>
      </c>
    </row>
    <row r="32" spans="1:5" x14ac:dyDescent="0.25">
      <c r="A32" s="1">
        <v>2004</v>
      </c>
      <c r="B32" s="6" t="s">
        <v>6</v>
      </c>
      <c r="C32" s="6" t="s">
        <v>6</v>
      </c>
      <c r="D32" s="6" t="s">
        <v>6</v>
      </c>
      <c r="E32" s="8" t="s">
        <v>17</v>
      </c>
    </row>
    <row r="33" spans="1:6" x14ac:dyDescent="0.25">
      <c r="A33" s="1">
        <v>2005</v>
      </c>
      <c r="B33" s="6" t="s">
        <v>6</v>
      </c>
      <c r="C33" s="6" t="s">
        <v>6</v>
      </c>
      <c r="D33" s="6" t="s">
        <v>6</v>
      </c>
      <c r="E33" s="8" t="s">
        <v>17</v>
      </c>
    </row>
    <row r="34" spans="1:6" x14ac:dyDescent="0.25">
      <c r="A34" s="1">
        <v>2006</v>
      </c>
      <c r="B34" s="6" t="s">
        <v>6</v>
      </c>
      <c r="C34" s="6" t="s">
        <v>6</v>
      </c>
      <c r="D34" s="6" t="s">
        <v>6</v>
      </c>
      <c r="E34" s="8" t="s">
        <v>17</v>
      </c>
    </row>
    <row r="35" spans="1:6" x14ac:dyDescent="0.25">
      <c r="A35" s="1">
        <v>2007</v>
      </c>
      <c r="B35" s="6" t="s">
        <v>6</v>
      </c>
      <c r="C35" s="6" t="s">
        <v>6</v>
      </c>
      <c r="D35" s="6" t="s">
        <v>6</v>
      </c>
      <c r="E35" s="8" t="s">
        <v>17</v>
      </c>
    </row>
    <row r="36" spans="1:6" x14ac:dyDescent="0.25">
      <c r="A36" s="1">
        <v>2008</v>
      </c>
      <c r="B36" s="6" t="s">
        <v>6</v>
      </c>
      <c r="C36" s="6" t="s">
        <v>6</v>
      </c>
      <c r="D36" s="6" t="s">
        <v>6</v>
      </c>
      <c r="E36" s="8" t="s">
        <v>17</v>
      </c>
    </row>
    <row r="37" spans="1:6" x14ac:dyDescent="0.25">
      <c r="A37" s="1">
        <v>2009</v>
      </c>
      <c r="B37" s="6">
        <v>0.66</v>
      </c>
      <c r="C37" s="6">
        <v>0.34</v>
      </c>
      <c r="D37" s="13">
        <v>0.34</v>
      </c>
      <c r="E37" s="8" t="s">
        <v>18</v>
      </c>
    </row>
    <row r="38" spans="1:6" x14ac:dyDescent="0.25">
      <c r="A38" s="1">
        <v>2010</v>
      </c>
      <c r="B38" s="6">
        <v>0.9</v>
      </c>
      <c r="C38" s="6">
        <v>0.1</v>
      </c>
      <c r="D38" s="13">
        <v>0.1</v>
      </c>
      <c r="E38" s="8" t="s">
        <v>18</v>
      </c>
    </row>
    <row r="39" spans="1:6" x14ac:dyDescent="0.25">
      <c r="A39" s="1">
        <v>2011</v>
      </c>
      <c r="B39" s="6">
        <v>0.66</v>
      </c>
      <c r="C39" s="6">
        <v>0.41</v>
      </c>
      <c r="D39" s="13">
        <v>0.38317757009345788</v>
      </c>
      <c r="E39" s="8" t="s">
        <v>19</v>
      </c>
    </row>
    <row r="40" spans="1:6" x14ac:dyDescent="0.25">
      <c r="A40" s="1">
        <v>2012</v>
      </c>
      <c r="B40" s="6">
        <v>0.19</v>
      </c>
      <c r="C40" s="6">
        <v>0.64</v>
      </c>
      <c r="D40" s="13">
        <v>0.77108433734939752</v>
      </c>
      <c r="E40" s="8" t="s">
        <v>19</v>
      </c>
    </row>
    <row r="41" spans="1:6" x14ac:dyDescent="0.25">
      <c r="A41" s="1">
        <v>2013</v>
      </c>
      <c r="B41" s="6">
        <v>0.4</v>
      </c>
      <c r="C41" s="6">
        <v>0.96</v>
      </c>
      <c r="D41" s="13">
        <v>0.70588235294117652</v>
      </c>
      <c r="E41" s="8" t="s">
        <v>19</v>
      </c>
    </row>
    <row r="42" spans="1:6" x14ac:dyDescent="0.25">
      <c r="A42" s="1">
        <v>2014</v>
      </c>
      <c r="B42" s="6">
        <v>0.69</v>
      </c>
      <c r="C42" s="6">
        <v>0.28000000000000003</v>
      </c>
      <c r="D42" s="13">
        <v>0.28865979381443302</v>
      </c>
      <c r="E42" s="8" t="s">
        <v>19</v>
      </c>
    </row>
    <row r="43" spans="1:6" x14ac:dyDescent="0.25">
      <c r="A43" s="1">
        <v>2015</v>
      </c>
      <c r="B43" s="6">
        <v>0.65</v>
      </c>
      <c r="C43" s="6">
        <v>0.66</v>
      </c>
      <c r="D43" s="13">
        <v>0.50381679389312972</v>
      </c>
      <c r="E43" s="8" t="s">
        <v>19</v>
      </c>
    </row>
    <row r="44" spans="1:6" x14ac:dyDescent="0.25">
      <c r="A44" s="1">
        <v>2016</v>
      </c>
      <c r="B44" s="6">
        <v>0.68</v>
      </c>
      <c r="C44" s="6">
        <v>0.84</v>
      </c>
      <c r="D44" s="13">
        <v>0.55263157894736836</v>
      </c>
      <c r="E44" s="8" t="s">
        <v>19</v>
      </c>
    </row>
    <row r="45" spans="1:6" x14ac:dyDescent="0.25">
      <c r="A45" s="1">
        <v>2017</v>
      </c>
      <c r="B45" s="6">
        <v>0.72</v>
      </c>
      <c r="C45" s="6">
        <v>0.99</v>
      </c>
      <c r="D45" s="13">
        <v>0.57894736842105265</v>
      </c>
      <c r="E45" s="8" t="s">
        <v>19</v>
      </c>
    </row>
    <row r="46" spans="1:6" x14ac:dyDescent="0.25">
      <c r="A46" s="1">
        <v>2018</v>
      </c>
      <c r="B46" s="6">
        <v>0.36</v>
      </c>
      <c r="C46" s="6">
        <v>0.75</v>
      </c>
      <c r="D46" s="13">
        <v>0.67567567567567577</v>
      </c>
      <c r="E46" s="8" t="s">
        <v>19</v>
      </c>
    </row>
    <row r="47" spans="1:6" x14ac:dyDescent="0.25">
      <c r="A47" s="1">
        <v>2019</v>
      </c>
      <c r="B47" s="6">
        <v>0.66</v>
      </c>
      <c r="C47" s="6">
        <v>0.64</v>
      </c>
      <c r="D47" s="13">
        <v>0.49230769230769228</v>
      </c>
      <c r="E47" s="8" t="s">
        <v>19</v>
      </c>
    </row>
    <row r="48" spans="1:6" x14ac:dyDescent="0.25">
      <c r="A48" s="1">
        <v>2020</v>
      </c>
      <c r="B48" s="14">
        <v>0.39</v>
      </c>
      <c r="C48" s="6">
        <v>0.61</v>
      </c>
      <c r="D48" s="13">
        <v>0.61</v>
      </c>
      <c r="E48" s="8" t="s">
        <v>18</v>
      </c>
      <c r="F48" t="s">
        <v>20</v>
      </c>
    </row>
    <row r="49" spans="1:5" x14ac:dyDescent="0.25">
      <c r="A49" s="1">
        <v>2021</v>
      </c>
      <c r="B49" s="6">
        <v>0.27150000000000002</v>
      </c>
      <c r="C49" s="6">
        <v>0.72850000000000004</v>
      </c>
      <c r="D49" s="13">
        <v>0.72850000000000004</v>
      </c>
      <c r="E49" s="8" t="s">
        <v>18</v>
      </c>
    </row>
    <row r="50" spans="1:5" x14ac:dyDescent="0.25">
      <c r="A50" s="1">
        <v>2022</v>
      </c>
      <c r="B50" s="6">
        <v>0.31409999999999999</v>
      </c>
      <c r="C50" s="6">
        <v>0.68589999999999995</v>
      </c>
      <c r="D50" s="13">
        <v>0.68589999999999995</v>
      </c>
      <c r="E50" s="8" t="s">
        <v>18</v>
      </c>
    </row>
    <row r="51" spans="1:5" x14ac:dyDescent="0.25">
      <c r="A51" s="1">
        <v>2023</v>
      </c>
      <c r="B51" s="15">
        <v>0.18110000000000001</v>
      </c>
      <c r="C51" s="6">
        <v>0.81889999999999996</v>
      </c>
      <c r="D51" s="13">
        <v>0.81889999999999996</v>
      </c>
      <c r="E51" s="8" t="s">
        <v>18</v>
      </c>
    </row>
    <row r="52" spans="1:5" ht="15.75" thickBot="1" x14ac:dyDescent="0.3">
      <c r="A52" s="2">
        <v>2024</v>
      </c>
      <c r="B52" s="9">
        <v>0.06</v>
      </c>
      <c r="C52" s="9">
        <f>1-B52</f>
        <v>0.94</v>
      </c>
      <c r="D52" s="19">
        <f>C52</f>
        <v>0.94</v>
      </c>
      <c r="E52" s="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1A3D-2200-4701-B098-44E79FD300D5}">
  <dimension ref="A1:E52"/>
  <sheetViews>
    <sheetView topLeftCell="A27" workbookViewId="0">
      <selection sqref="A1:XFD1048576"/>
    </sheetView>
  </sheetViews>
  <sheetFormatPr defaultRowHeight="15" x14ac:dyDescent="0.25"/>
  <cols>
    <col min="1" max="1" width="10.140625" bestFit="1" customWidth="1"/>
    <col min="2" max="2" width="14.5703125" customWidth="1"/>
    <col min="3" max="3" width="13.85546875" customWidth="1"/>
    <col min="4" max="4" width="17.140625" customWidth="1"/>
    <col min="5" max="5" width="38.140625" customWidth="1"/>
  </cols>
  <sheetData>
    <row r="1" spans="1:5" ht="15.75" thickBot="1" x14ac:dyDescent="0.3">
      <c r="A1" s="3" t="s">
        <v>0</v>
      </c>
      <c r="B1" s="4" t="s">
        <v>2</v>
      </c>
      <c r="C1" s="4" t="s">
        <v>1</v>
      </c>
      <c r="D1" s="4" t="s">
        <v>3</v>
      </c>
      <c r="E1" s="5" t="s">
        <v>4</v>
      </c>
    </row>
    <row r="2" spans="1:5" x14ac:dyDescent="0.25">
      <c r="A2" s="16">
        <v>1974</v>
      </c>
      <c r="B2" s="17" t="s">
        <v>6</v>
      </c>
      <c r="C2" s="17" t="s">
        <v>6</v>
      </c>
      <c r="D2" s="17" t="s">
        <v>6</v>
      </c>
      <c r="E2" s="18" t="s">
        <v>22</v>
      </c>
    </row>
    <row r="3" spans="1:5" x14ac:dyDescent="0.25">
      <c r="A3" s="1">
        <v>1975</v>
      </c>
      <c r="B3" s="6" t="s">
        <v>6</v>
      </c>
      <c r="C3" s="6" t="s">
        <v>6</v>
      </c>
      <c r="D3" s="6" t="s">
        <v>6</v>
      </c>
      <c r="E3" s="8" t="s">
        <v>22</v>
      </c>
    </row>
    <row r="4" spans="1:5" x14ac:dyDescent="0.25">
      <c r="A4" s="1">
        <v>1976</v>
      </c>
      <c r="B4" s="6" t="s">
        <v>6</v>
      </c>
      <c r="C4" s="6" t="s">
        <v>6</v>
      </c>
      <c r="D4" s="6" t="s">
        <v>6</v>
      </c>
      <c r="E4" s="8" t="s">
        <v>22</v>
      </c>
    </row>
    <row r="5" spans="1:5" x14ac:dyDescent="0.25">
      <c r="A5" s="1">
        <v>1977</v>
      </c>
      <c r="B5" s="6" t="s">
        <v>6</v>
      </c>
      <c r="C5" s="6" t="s">
        <v>6</v>
      </c>
      <c r="D5" s="6" t="s">
        <v>6</v>
      </c>
      <c r="E5" s="8" t="s">
        <v>22</v>
      </c>
    </row>
    <row r="6" spans="1:5" x14ac:dyDescent="0.25">
      <c r="A6" s="1">
        <v>1978</v>
      </c>
      <c r="B6" s="6" t="s">
        <v>6</v>
      </c>
      <c r="C6" s="6" t="s">
        <v>6</v>
      </c>
      <c r="D6" s="6" t="s">
        <v>6</v>
      </c>
      <c r="E6" s="8" t="s">
        <v>22</v>
      </c>
    </row>
    <row r="7" spans="1:5" x14ac:dyDescent="0.25">
      <c r="A7" s="1">
        <v>1979</v>
      </c>
      <c r="B7" s="6" t="s">
        <v>6</v>
      </c>
      <c r="C7" s="6" t="s">
        <v>6</v>
      </c>
      <c r="D7" s="6" t="s">
        <v>6</v>
      </c>
      <c r="E7" s="8" t="s">
        <v>22</v>
      </c>
    </row>
    <row r="8" spans="1:5" x14ac:dyDescent="0.25">
      <c r="A8" s="1">
        <v>1980</v>
      </c>
      <c r="B8" s="6" t="s">
        <v>6</v>
      </c>
      <c r="C8" s="6" t="s">
        <v>6</v>
      </c>
      <c r="D8" s="6" t="s">
        <v>6</v>
      </c>
      <c r="E8" s="8" t="s">
        <v>22</v>
      </c>
    </row>
    <row r="9" spans="1:5" x14ac:dyDescent="0.25">
      <c r="A9" s="1">
        <v>1981</v>
      </c>
      <c r="B9" s="6" t="s">
        <v>6</v>
      </c>
      <c r="C9" s="6" t="s">
        <v>6</v>
      </c>
      <c r="D9" s="6" t="s">
        <v>6</v>
      </c>
      <c r="E9" s="8" t="s">
        <v>22</v>
      </c>
    </row>
    <row r="10" spans="1:5" x14ac:dyDescent="0.25">
      <c r="A10" s="1">
        <v>1982</v>
      </c>
      <c r="B10" s="6" t="s">
        <v>6</v>
      </c>
      <c r="C10" s="6" t="s">
        <v>6</v>
      </c>
      <c r="D10" s="6" t="s">
        <v>6</v>
      </c>
      <c r="E10" s="8" t="s">
        <v>22</v>
      </c>
    </row>
    <row r="11" spans="1:5" x14ac:dyDescent="0.25">
      <c r="A11" s="1">
        <v>1983</v>
      </c>
      <c r="B11" s="6" t="s">
        <v>6</v>
      </c>
      <c r="C11" s="6" t="s">
        <v>6</v>
      </c>
      <c r="D11" s="6" t="s">
        <v>6</v>
      </c>
      <c r="E11" s="8" t="s">
        <v>22</v>
      </c>
    </row>
    <row r="12" spans="1:5" x14ac:dyDescent="0.25">
      <c r="A12" s="1">
        <v>1984</v>
      </c>
      <c r="B12" s="6" t="s">
        <v>6</v>
      </c>
      <c r="C12" s="6" t="s">
        <v>6</v>
      </c>
      <c r="D12" s="6" t="s">
        <v>6</v>
      </c>
      <c r="E12" s="8" t="s">
        <v>22</v>
      </c>
    </row>
    <row r="13" spans="1:5" x14ac:dyDescent="0.25">
      <c r="A13" s="1">
        <v>1985</v>
      </c>
      <c r="B13" s="6" t="s">
        <v>6</v>
      </c>
      <c r="C13" s="6" t="s">
        <v>6</v>
      </c>
      <c r="D13" s="6" t="s">
        <v>6</v>
      </c>
      <c r="E13" s="8" t="s">
        <v>22</v>
      </c>
    </row>
    <row r="14" spans="1:5" x14ac:dyDescent="0.25">
      <c r="A14" s="1">
        <v>1986</v>
      </c>
      <c r="B14" s="6" t="s">
        <v>6</v>
      </c>
      <c r="C14" s="6" t="s">
        <v>6</v>
      </c>
      <c r="D14" s="6" t="s">
        <v>6</v>
      </c>
      <c r="E14" s="8" t="s">
        <v>22</v>
      </c>
    </row>
    <row r="15" spans="1:5" x14ac:dyDescent="0.25">
      <c r="A15" s="1">
        <v>1987</v>
      </c>
      <c r="B15" s="6" t="s">
        <v>6</v>
      </c>
      <c r="C15" s="6" t="s">
        <v>6</v>
      </c>
      <c r="D15" s="6" t="s">
        <v>6</v>
      </c>
      <c r="E15" s="8" t="s">
        <v>22</v>
      </c>
    </row>
    <row r="16" spans="1:5" x14ac:dyDescent="0.25">
      <c r="A16" s="1">
        <v>1988</v>
      </c>
      <c r="B16" s="6" t="s">
        <v>6</v>
      </c>
      <c r="C16" s="6" t="s">
        <v>6</v>
      </c>
      <c r="D16" s="6" t="s">
        <v>6</v>
      </c>
      <c r="E16" s="8" t="s">
        <v>22</v>
      </c>
    </row>
    <row r="17" spans="1:5" x14ac:dyDescent="0.25">
      <c r="A17" s="1">
        <v>1989</v>
      </c>
      <c r="B17" s="6" t="s">
        <v>6</v>
      </c>
      <c r="C17" s="6" t="s">
        <v>6</v>
      </c>
      <c r="D17" s="6" t="s">
        <v>6</v>
      </c>
      <c r="E17" s="8" t="s">
        <v>22</v>
      </c>
    </row>
    <row r="18" spans="1:5" x14ac:dyDescent="0.25">
      <c r="A18" s="1">
        <v>1990</v>
      </c>
      <c r="B18" s="6" t="s">
        <v>6</v>
      </c>
      <c r="C18" s="6" t="s">
        <v>6</v>
      </c>
      <c r="D18" s="6" t="s">
        <v>6</v>
      </c>
      <c r="E18" s="8" t="s">
        <v>22</v>
      </c>
    </row>
    <row r="19" spans="1:5" x14ac:dyDescent="0.25">
      <c r="A19" s="1">
        <v>1991</v>
      </c>
      <c r="B19" s="6" t="s">
        <v>6</v>
      </c>
      <c r="C19" s="6" t="s">
        <v>6</v>
      </c>
      <c r="D19" s="6" t="s">
        <v>6</v>
      </c>
      <c r="E19" s="8" t="s">
        <v>22</v>
      </c>
    </row>
    <row r="20" spans="1:5" x14ac:dyDescent="0.25">
      <c r="A20" s="1">
        <v>1992</v>
      </c>
      <c r="B20" s="6" t="s">
        <v>6</v>
      </c>
      <c r="C20" s="6" t="s">
        <v>6</v>
      </c>
      <c r="D20" s="6" t="s">
        <v>6</v>
      </c>
      <c r="E20" s="8" t="s">
        <v>22</v>
      </c>
    </row>
    <row r="21" spans="1:5" x14ac:dyDescent="0.25">
      <c r="A21" s="1">
        <v>1993</v>
      </c>
      <c r="B21" s="6" t="s">
        <v>6</v>
      </c>
      <c r="C21" s="6" t="s">
        <v>6</v>
      </c>
      <c r="D21" s="6" t="s">
        <v>6</v>
      </c>
      <c r="E21" s="8" t="s">
        <v>22</v>
      </c>
    </row>
    <row r="22" spans="1:5" x14ac:dyDescent="0.25">
      <c r="A22" s="1">
        <v>1994</v>
      </c>
      <c r="B22" s="6" t="s">
        <v>6</v>
      </c>
      <c r="C22" s="6" t="s">
        <v>6</v>
      </c>
      <c r="D22" s="6" t="s">
        <v>6</v>
      </c>
      <c r="E22" s="8" t="s">
        <v>22</v>
      </c>
    </row>
    <row r="23" spans="1:5" x14ac:dyDescent="0.25">
      <c r="A23" s="1">
        <v>1995</v>
      </c>
      <c r="B23" s="6" t="s">
        <v>6</v>
      </c>
      <c r="C23" s="6" t="s">
        <v>6</v>
      </c>
      <c r="D23" s="6" t="s">
        <v>6</v>
      </c>
      <c r="E23" s="8" t="s">
        <v>22</v>
      </c>
    </row>
    <row r="24" spans="1:5" x14ac:dyDescent="0.25">
      <c r="A24" s="1">
        <v>1996</v>
      </c>
      <c r="B24" s="6" t="s">
        <v>6</v>
      </c>
      <c r="C24" s="6" t="s">
        <v>6</v>
      </c>
      <c r="D24" s="6" t="s">
        <v>6</v>
      </c>
      <c r="E24" s="8" t="s">
        <v>22</v>
      </c>
    </row>
    <row r="25" spans="1:5" x14ac:dyDescent="0.25">
      <c r="A25" s="1">
        <v>1997</v>
      </c>
      <c r="B25" s="6" t="s">
        <v>6</v>
      </c>
      <c r="C25" s="6" t="s">
        <v>6</v>
      </c>
      <c r="D25" s="6" t="s">
        <v>6</v>
      </c>
      <c r="E25" s="8" t="s">
        <v>22</v>
      </c>
    </row>
    <row r="26" spans="1:5" x14ac:dyDescent="0.25">
      <c r="A26" s="1">
        <v>1998</v>
      </c>
      <c r="B26" s="6" t="s">
        <v>6</v>
      </c>
      <c r="C26" s="6" t="s">
        <v>6</v>
      </c>
      <c r="D26" s="6" t="s">
        <v>6</v>
      </c>
      <c r="E26" s="8" t="s">
        <v>22</v>
      </c>
    </row>
    <row r="27" spans="1:5" x14ac:dyDescent="0.25">
      <c r="A27" s="1">
        <v>1999</v>
      </c>
      <c r="B27" s="6" t="s">
        <v>6</v>
      </c>
      <c r="C27" s="6" t="s">
        <v>6</v>
      </c>
      <c r="D27" s="6" t="s">
        <v>6</v>
      </c>
      <c r="E27" s="8" t="s">
        <v>22</v>
      </c>
    </row>
    <row r="28" spans="1:5" x14ac:dyDescent="0.25">
      <c r="A28" s="1">
        <v>2000</v>
      </c>
      <c r="B28" s="6" t="s">
        <v>6</v>
      </c>
      <c r="C28" s="6" t="s">
        <v>6</v>
      </c>
      <c r="D28" s="6" t="s">
        <v>6</v>
      </c>
      <c r="E28" s="8" t="s">
        <v>22</v>
      </c>
    </row>
    <row r="29" spans="1:5" x14ac:dyDescent="0.25">
      <c r="A29" s="1">
        <v>2001</v>
      </c>
      <c r="B29" s="6" t="s">
        <v>6</v>
      </c>
      <c r="C29" s="6" t="s">
        <v>6</v>
      </c>
      <c r="D29" s="6" t="s">
        <v>6</v>
      </c>
      <c r="E29" s="8" t="s">
        <v>22</v>
      </c>
    </row>
    <row r="30" spans="1:5" x14ac:dyDescent="0.25">
      <c r="A30" s="1">
        <v>2002</v>
      </c>
      <c r="B30" s="6" t="s">
        <v>6</v>
      </c>
      <c r="C30" s="6" t="s">
        <v>6</v>
      </c>
      <c r="D30" s="6" t="s">
        <v>6</v>
      </c>
      <c r="E30" s="8" t="s">
        <v>22</v>
      </c>
    </row>
    <row r="31" spans="1:5" x14ac:dyDescent="0.25">
      <c r="A31" s="1">
        <v>2003</v>
      </c>
      <c r="B31" s="6" t="s">
        <v>6</v>
      </c>
      <c r="C31" s="6" t="s">
        <v>6</v>
      </c>
      <c r="D31" s="6" t="s">
        <v>6</v>
      </c>
      <c r="E31" s="8" t="s">
        <v>22</v>
      </c>
    </row>
    <row r="32" spans="1:5" x14ac:dyDescent="0.25">
      <c r="A32" s="1">
        <v>2004</v>
      </c>
      <c r="B32" s="6" t="s">
        <v>6</v>
      </c>
      <c r="C32" s="6" t="s">
        <v>6</v>
      </c>
      <c r="D32" s="6" t="s">
        <v>6</v>
      </c>
      <c r="E32" s="8" t="s">
        <v>22</v>
      </c>
    </row>
    <row r="33" spans="1:5" x14ac:dyDescent="0.25">
      <c r="A33" s="1">
        <v>2005</v>
      </c>
      <c r="B33" s="6" t="s">
        <v>6</v>
      </c>
      <c r="C33" s="6" t="s">
        <v>6</v>
      </c>
      <c r="D33" s="6" t="s">
        <v>6</v>
      </c>
      <c r="E33" s="8" t="s">
        <v>22</v>
      </c>
    </row>
    <row r="34" spans="1:5" x14ac:dyDescent="0.25">
      <c r="A34" s="1">
        <v>2006</v>
      </c>
      <c r="B34" s="6" t="s">
        <v>6</v>
      </c>
      <c r="C34" s="6" t="s">
        <v>6</v>
      </c>
      <c r="D34" s="6" t="s">
        <v>6</v>
      </c>
      <c r="E34" s="8" t="s">
        <v>22</v>
      </c>
    </row>
    <row r="35" spans="1:5" x14ac:dyDescent="0.25">
      <c r="A35" s="1">
        <v>2007</v>
      </c>
      <c r="B35" s="6" t="s">
        <v>6</v>
      </c>
      <c r="C35" s="6" t="s">
        <v>6</v>
      </c>
      <c r="D35" s="6" t="s">
        <v>6</v>
      </c>
      <c r="E35" s="8" t="s">
        <v>22</v>
      </c>
    </row>
    <row r="36" spans="1:5" x14ac:dyDescent="0.25">
      <c r="A36" s="1">
        <v>2008</v>
      </c>
      <c r="B36" s="6" t="s">
        <v>6</v>
      </c>
      <c r="C36" s="6" t="s">
        <v>6</v>
      </c>
      <c r="D36" s="6" t="s">
        <v>6</v>
      </c>
      <c r="E36" s="8" t="s">
        <v>22</v>
      </c>
    </row>
    <row r="37" spans="1:5" x14ac:dyDescent="0.25">
      <c r="A37" s="1">
        <v>2009</v>
      </c>
      <c r="B37" s="6" t="s">
        <v>6</v>
      </c>
      <c r="C37" s="6" t="s">
        <v>6</v>
      </c>
      <c r="D37" s="6" t="s">
        <v>6</v>
      </c>
      <c r="E37" s="8" t="s">
        <v>22</v>
      </c>
    </row>
    <row r="38" spans="1:5" x14ac:dyDescent="0.25">
      <c r="A38" s="1">
        <v>2010</v>
      </c>
      <c r="B38" s="6" t="s">
        <v>6</v>
      </c>
      <c r="C38" s="6" t="s">
        <v>6</v>
      </c>
      <c r="D38" s="6" t="s">
        <v>6</v>
      </c>
      <c r="E38" s="8" t="s">
        <v>22</v>
      </c>
    </row>
    <row r="39" spans="1:5" x14ac:dyDescent="0.25">
      <c r="A39" s="1">
        <v>2011</v>
      </c>
      <c r="B39" s="6">
        <v>0.05</v>
      </c>
      <c r="C39" s="6">
        <v>0.95</v>
      </c>
      <c r="D39" s="13">
        <v>0.95</v>
      </c>
      <c r="E39" s="8" t="s">
        <v>19</v>
      </c>
    </row>
    <row r="40" spans="1:5" x14ac:dyDescent="0.25">
      <c r="A40" s="1">
        <v>2012</v>
      </c>
      <c r="B40" s="6" t="s">
        <v>6</v>
      </c>
      <c r="C40" s="6" t="s">
        <v>6</v>
      </c>
      <c r="D40" s="6" t="s">
        <v>6</v>
      </c>
      <c r="E40" s="8" t="s">
        <v>22</v>
      </c>
    </row>
    <row r="41" spans="1:5" x14ac:dyDescent="0.25">
      <c r="A41" s="1">
        <v>2013</v>
      </c>
      <c r="B41" s="6" t="s">
        <v>6</v>
      </c>
      <c r="C41" s="6" t="s">
        <v>6</v>
      </c>
      <c r="D41" s="6" t="s">
        <v>6</v>
      </c>
      <c r="E41" s="8" t="s">
        <v>22</v>
      </c>
    </row>
    <row r="42" spans="1:5" x14ac:dyDescent="0.25">
      <c r="A42" s="1">
        <v>2014</v>
      </c>
      <c r="B42" s="6">
        <v>0.14000000000000001</v>
      </c>
      <c r="C42" s="6">
        <v>0.86</v>
      </c>
      <c r="D42" s="13">
        <v>0.86</v>
      </c>
      <c r="E42" s="8" t="s">
        <v>21</v>
      </c>
    </row>
    <row r="43" spans="1:5" x14ac:dyDescent="0.25">
      <c r="A43" s="1">
        <v>2015</v>
      </c>
      <c r="B43" s="6">
        <v>0.11</v>
      </c>
      <c r="C43" s="6">
        <v>0.89</v>
      </c>
      <c r="D43" s="13">
        <v>0.89</v>
      </c>
      <c r="E43" s="8" t="s">
        <v>21</v>
      </c>
    </row>
    <row r="44" spans="1:5" x14ac:dyDescent="0.25">
      <c r="A44" s="1">
        <v>2016</v>
      </c>
      <c r="B44" s="6">
        <v>0.06</v>
      </c>
      <c r="C44" s="6">
        <v>0.94</v>
      </c>
      <c r="D44" s="13">
        <v>0.94</v>
      </c>
      <c r="E44" s="8" t="s">
        <v>21</v>
      </c>
    </row>
    <row r="45" spans="1:5" x14ac:dyDescent="0.25">
      <c r="A45" s="1">
        <v>2017</v>
      </c>
      <c r="B45" s="6">
        <v>0.1</v>
      </c>
      <c r="C45" s="6">
        <v>0.9</v>
      </c>
      <c r="D45" s="13">
        <v>0.9</v>
      </c>
      <c r="E45" s="8" t="s">
        <v>21</v>
      </c>
    </row>
    <row r="46" spans="1:5" x14ac:dyDescent="0.25">
      <c r="A46" s="1">
        <v>2018</v>
      </c>
      <c r="B46" s="20">
        <f>9/23</f>
        <v>0.39130434782608697</v>
      </c>
      <c r="C46" s="20">
        <f>1-B46</f>
        <v>0.60869565217391308</v>
      </c>
      <c r="D46" s="13">
        <f>C46</f>
        <v>0.60869565217391308</v>
      </c>
      <c r="E46" s="8" t="s">
        <v>21</v>
      </c>
    </row>
    <row r="47" spans="1:5" x14ac:dyDescent="0.25">
      <c r="A47" s="1">
        <v>2019</v>
      </c>
      <c r="B47" s="6" t="s">
        <v>6</v>
      </c>
      <c r="C47" s="6" t="s">
        <v>6</v>
      </c>
      <c r="D47" s="6" t="s">
        <v>6</v>
      </c>
      <c r="E47" s="8" t="s">
        <v>22</v>
      </c>
    </row>
    <row r="48" spans="1:5" x14ac:dyDescent="0.25">
      <c r="A48" s="1">
        <v>2020</v>
      </c>
      <c r="B48" s="21">
        <f>17/67</f>
        <v>0.2537313432835821</v>
      </c>
      <c r="C48" s="20">
        <f>1-B48</f>
        <v>0.74626865671641784</v>
      </c>
      <c r="D48" s="13">
        <f>C48</f>
        <v>0.74626865671641784</v>
      </c>
      <c r="E48" s="8" t="s">
        <v>21</v>
      </c>
    </row>
    <row r="49" spans="1:5" x14ac:dyDescent="0.25">
      <c r="A49" s="1">
        <v>2021</v>
      </c>
      <c r="B49" s="6" t="s">
        <v>6</v>
      </c>
      <c r="C49" s="6" t="s">
        <v>6</v>
      </c>
      <c r="D49" s="6" t="s">
        <v>6</v>
      </c>
      <c r="E49" s="8" t="s">
        <v>22</v>
      </c>
    </row>
    <row r="50" spans="1:5" x14ac:dyDescent="0.25">
      <c r="A50" s="1">
        <v>2022</v>
      </c>
      <c r="B50" s="6" t="s">
        <v>6</v>
      </c>
      <c r="C50" s="6" t="s">
        <v>6</v>
      </c>
      <c r="D50" s="6" t="s">
        <v>6</v>
      </c>
      <c r="E50" s="8" t="s">
        <v>22</v>
      </c>
    </row>
    <row r="51" spans="1:5" x14ac:dyDescent="0.25">
      <c r="A51" s="1">
        <v>2023</v>
      </c>
      <c r="B51" s="6" t="s">
        <v>6</v>
      </c>
      <c r="C51" s="6" t="s">
        <v>6</v>
      </c>
      <c r="D51" s="6" t="s">
        <v>6</v>
      </c>
      <c r="E51" s="8" t="s">
        <v>23</v>
      </c>
    </row>
    <row r="52" spans="1:5" ht="15.75" thickBot="1" x14ac:dyDescent="0.3">
      <c r="A52" s="2">
        <v>2024</v>
      </c>
      <c r="B52" s="9" t="s">
        <v>6</v>
      </c>
      <c r="C52" s="9" t="s">
        <v>6</v>
      </c>
      <c r="D52" s="19" t="s">
        <v>6</v>
      </c>
      <c r="E52" s="10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BF43-D05C-4366-9D6B-FC463B047FE6}">
  <dimension ref="A1:E52"/>
  <sheetViews>
    <sheetView tabSelected="1" topLeftCell="A18" workbookViewId="0">
      <selection activeCell="G45" sqref="G45"/>
    </sheetView>
  </sheetViews>
  <sheetFormatPr defaultRowHeight="15" x14ac:dyDescent="0.25"/>
  <cols>
    <col min="1" max="1" width="10.140625" bestFit="1" customWidth="1"/>
    <col min="2" max="2" width="14.5703125" customWidth="1"/>
    <col min="3" max="3" width="13.85546875" customWidth="1"/>
    <col min="4" max="4" width="17.140625" customWidth="1"/>
    <col min="5" max="5" width="38.140625" customWidth="1"/>
  </cols>
  <sheetData>
    <row r="1" spans="1:5" ht="15.75" thickBot="1" x14ac:dyDescent="0.3">
      <c r="A1" s="3" t="s">
        <v>0</v>
      </c>
      <c r="B1" s="4" t="s">
        <v>2</v>
      </c>
      <c r="C1" s="4" t="s">
        <v>1</v>
      </c>
      <c r="D1" s="4" t="s">
        <v>3</v>
      </c>
      <c r="E1" s="5" t="s">
        <v>4</v>
      </c>
    </row>
    <row r="2" spans="1:5" x14ac:dyDescent="0.25">
      <c r="A2" s="16">
        <v>1974</v>
      </c>
      <c r="B2" s="17"/>
      <c r="C2" s="17"/>
      <c r="D2" s="17"/>
      <c r="E2" s="18"/>
    </row>
    <row r="3" spans="1:5" x14ac:dyDescent="0.25">
      <c r="A3" s="1">
        <v>1975</v>
      </c>
      <c r="B3" s="6"/>
      <c r="C3" s="6"/>
      <c r="D3" s="6"/>
      <c r="E3" s="8"/>
    </row>
    <row r="4" spans="1:5" x14ac:dyDescent="0.25">
      <c r="A4" s="1">
        <v>1976</v>
      </c>
      <c r="B4" s="6"/>
      <c r="C4" s="6"/>
      <c r="D4" s="6"/>
      <c r="E4" s="8"/>
    </row>
    <row r="5" spans="1:5" x14ac:dyDescent="0.25">
      <c r="A5" s="1">
        <v>1977</v>
      </c>
      <c r="B5" s="6"/>
      <c r="C5" s="6"/>
      <c r="D5" s="6"/>
      <c r="E5" s="8"/>
    </row>
    <row r="6" spans="1:5" x14ac:dyDescent="0.25">
      <c r="A6" s="1">
        <v>1978</v>
      </c>
      <c r="B6" s="6"/>
      <c r="C6" s="6"/>
      <c r="D6" s="6"/>
      <c r="E6" s="8"/>
    </row>
    <row r="7" spans="1:5" x14ac:dyDescent="0.25">
      <c r="A7" s="1">
        <v>1979</v>
      </c>
      <c r="B7" s="6"/>
      <c r="C7" s="6"/>
      <c r="D7" s="6"/>
      <c r="E7" s="8"/>
    </row>
    <row r="8" spans="1:5" x14ac:dyDescent="0.25">
      <c r="A8" s="1">
        <v>1980</v>
      </c>
      <c r="B8" s="6"/>
      <c r="C8" s="6"/>
      <c r="D8" s="6"/>
      <c r="E8" s="8"/>
    </row>
    <row r="9" spans="1:5" x14ac:dyDescent="0.25">
      <c r="A9" s="1">
        <v>1981</v>
      </c>
      <c r="B9" s="6"/>
      <c r="C9" s="6"/>
      <c r="D9" s="6"/>
      <c r="E9" s="8"/>
    </row>
    <row r="10" spans="1:5" x14ac:dyDescent="0.25">
      <c r="A10" s="1">
        <v>1982</v>
      </c>
      <c r="B10" s="6"/>
      <c r="C10" s="6"/>
      <c r="D10" s="6"/>
      <c r="E10" s="8"/>
    </row>
    <row r="11" spans="1:5" x14ac:dyDescent="0.25">
      <c r="A11" s="1">
        <v>1983</v>
      </c>
      <c r="B11" s="6"/>
      <c r="C11" s="6"/>
      <c r="D11" s="6"/>
      <c r="E11" s="8"/>
    </row>
    <row r="12" spans="1:5" x14ac:dyDescent="0.25">
      <c r="A12" s="1">
        <v>1984</v>
      </c>
      <c r="B12" s="6"/>
      <c r="C12" s="6"/>
      <c r="D12" s="6"/>
      <c r="E12" s="8"/>
    </row>
    <row r="13" spans="1:5" x14ac:dyDescent="0.25">
      <c r="A13" s="1">
        <v>1985</v>
      </c>
      <c r="B13" s="6"/>
      <c r="C13" s="6"/>
      <c r="D13" s="6"/>
      <c r="E13" s="8"/>
    </row>
    <row r="14" spans="1:5" x14ac:dyDescent="0.25">
      <c r="A14" s="1">
        <v>1986</v>
      </c>
      <c r="B14" s="6"/>
      <c r="C14" s="6"/>
      <c r="D14" s="6"/>
      <c r="E14" s="8"/>
    </row>
    <row r="15" spans="1:5" x14ac:dyDescent="0.25">
      <c r="A15" s="1">
        <v>1987</v>
      </c>
      <c r="B15" s="6"/>
      <c r="C15" s="6"/>
      <c r="D15" s="6"/>
      <c r="E15" s="8"/>
    </row>
    <row r="16" spans="1:5" x14ac:dyDescent="0.25">
      <c r="A16" s="1">
        <v>1988</v>
      </c>
      <c r="B16" s="6"/>
      <c r="C16" s="6"/>
      <c r="D16" s="6"/>
      <c r="E16" s="8"/>
    </row>
    <row r="17" spans="1:5" x14ac:dyDescent="0.25">
      <c r="A17" s="1">
        <v>1989</v>
      </c>
      <c r="B17" s="6"/>
      <c r="C17" s="6"/>
      <c r="D17" s="6"/>
      <c r="E17" s="8"/>
    </row>
    <row r="18" spans="1:5" x14ac:dyDescent="0.25">
      <c r="A18" s="1">
        <v>1990</v>
      </c>
      <c r="B18" s="6"/>
      <c r="C18" s="6"/>
      <c r="D18" s="6"/>
      <c r="E18" s="8"/>
    </row>
    <row r="19" spans="1:5" x14ac:dyDescent="0.25">
      <c r="A19" s="1">
        <v>1991</v>
      </c>
      <c r="B19" s="6"/>
      <c r="C19" s="6"/>
      <c r="D19" s="6"/>
      <c r="E19" s="8"/>
    </row>
    <row r="20" spans="1:5" x14ac:dyDescent="0.25">
      <c r="A20" s="1">
        <v>1992</v>
      </c>
      <c r="B20" s="6"/>
      <c r="C20" s="6"/>
      <c r="D20" s="6"/>
      <c r="E20" s="8"/>
    </row>
    <row r="21" spans="1:5" x14ac:dyDescent="0.25">
      <c r="A21" s="1">
        <v>1993</v>
      </c>
      <c r="B21" s="6"/>
      <c r="C21" s="6"/>
      <c r="D21" s="6"/>
      <c r="E21" s="8"/>
    </row>
    <row r="22" spans="1:5" x14ac:dyDescent="0.25">
      <c r="A22" s="1">
        <v>1994</v>
      </c>
      <c r="B22" s="6"/>
      <c r="C22" s="6"/>
      <c r="D22" s="6"/>
      <c r="E22" s="8"/>
    </row>
    <row r="23" spans="1:5" x14ac:dyDescent="0.25">
      <c r="A23" s="1">
        <v>1995</v>
      </c>
      <c r="B23" s="6"/>
      <c r="C23" s="6"/>
      <c r="D23" s="6"/>
      <c r="E23" s="8"/>
    </row>
    <row r="24" spans="1:5" x14ac:dyDescent="0.25">
      <c r="A24" s="1">
        <v>1996</v>
      </c>
      <c r="B24" s="6"/>
      <c r="C24" s="6"/>
      <c r="D24" s="6"/>
      <c r="E24" s="8"/>
    </row>
    <row r="25" spans="1:5" x14ac:dyDescent="0.25">
      <c r="A25" s="1">
        <v>1997</v>
      </c>
      <c r="B25" s="6"/>
      <c r="C25" s="6"/>
      <c r="D25" s="6"/>
      <c r="E25" s="8"/>
    </row>
    <row r="26" spans="1:5" x14ac:dyDescent="0.25">
      <c r="A26" s="1">
        <v>1998</v>
      </c>
      <c r="B26" s="6"/>
      <c r="C26" s="6"/>
      <c r="D26" s="6"/>
      <c r="E26" s="8"/>
    </row>
    <row r="27" spans="1:5" x14ac:dyDescent="0.25">
      <c r="A27" s="1">
        <v>1999</v>
      </c>
      <c r="B27" s="6"/>
      <c r="C27" s="6"/>
      <c r="D27" s="6"/>
      <c r="E27" s="8"/>
    </row>
    <row r="28" spans="1:5" x14ac:dyDescent="0.25">
      <c r="A28" s="1">
        <v>2000</v>
      </c>
      <c r="B28" s="6"/>
      <c r="C28" s="6"/>
      <c r="D28" s="6"/>
      <c r="E28" s="8"/>
    </row>
    <row r="29" spans="1:5" x14ac:dyDescent="0.25">
      <c r="A29" s="1">
        <v>2001</v>
      </c>
      <c r="B29" s="6"/>
      <c r="C29" s="6"/>
      <c r="D29" s="6"/>
      <c r="E29" s="8"/>
    </row>
    <row r="30" spans="1:5" x14ac:dyDescent="0.25">
      <c r="A30" s="1">
        <v>2002</v>
      </c>
      <c r="B30" s="6"/>
      <c r="C30" s="6"/>
      <c r="D30" s="6"/>
      <c r="E30" s="8"/>
    </row>
    <row r="31" spans="1:5" x14ac:dyDescent="0.25">
      <c r="A31" s="1">
        <v>2003</v>
      </c>
      <c r="B31" s="6"/>
      <c r="C31" s="6"/>
      <c r="D31" s="6"/>
      <c r="E31" s="8"/>
    </row>
    <row r="32" spans="1:5" x14ac:dyDescent="0.25">
      <c r="A32" s="1">
        <v>2004</v>
      </c>
      <c r="B32" s="6"/>
      <c r="C32" s="6"/>
      <c r="D32" s="6"/>
      <c r="E32" s="8"/>
    </row>
    <row r="33" spans="1:5" x14ac:dyDescent="0.25">
      <c r="A33" s="1">
        <v>2005</v>
      </c>
      <c r="B33" s="6"/>
      <c r="C33" s="6"/>
      <c r="D33" s="6"/>
      <c r="E33" s="8"/>
    </row>
    <row r="34" spans="1:5" x14ac:dyDescent="0.25">
      <c r="A34" s="1">
        <v>2006</v>
      </c>
      <c r="B34" s="22"/>
      <c r="C34" s="22"/>
      <c r="D34" s="20"/>
      <c r="E34" s="8"/>
    </row>
    <row r="35" spans="1:5" x14ac:dyDescent="0.25">
      <c r="A35" s="1">
        <v>2007</v>
      </c>
      <c r="B35" s="22">
        <v>0.06</v>
      </c>
      <c r="C35" s="22">
        <v>0.94</v>
      </c>
      <c r="D35" s="20">
        <f t="shared" ref="D34:D51" si="0">C35/(C35+B35)</f>
        <v>0.94</v>
      </c>
      <c r="E35" s="8" t="s">
        <v>31</v>
      </c>
    </row>
    <row r="36" spans="1:5" x14ac:dyDescent="0.25">
      <c r="A36" s="1">
        <v>2008</v>
      </c>
      <c r="B36" s="22">
        <v>0.14000000000000001</v>
      </c>
      <c r="C36" s="22">
        <v>0.86</v>
      </c>
      <c r="D36" s="20">
        <f t="shared" si="0"/>
        <v>0.86</v>
      </c>
      <c r="E36" s="8" t="s">
        <v>31</v>
      </c>
    </row>
    <row r="37" spans="1:5" x14ac:dyDescent="0.25">
      <c r="A37" s="1">
        <v>2009</v>
      </c>
      <c r="B37" s="22">
        <v>0.14000000000000001</v>
      </c>
      <c r="C37" s="22">
        <v>0.86</v>
      </c>
      <c r="D37" s="20">
        <f t="shared" si="0"/>
        <v>0.86</v>
      </c>
      <c r="E37" s="8" t="s">
        <v>31</v>
      </c>
    </row>
    <row r="38" spans="1:5" x14ac:dyDescent="0.25">
      <c r="A38" s="1">
        <v>2010</v>
      </c>
      <c r="B38" s="22">
        <v>0.31</v>
      </c>
      <c r="C38" s="22">
        <v>0.69</v>
      </c>
      <c r="D38" s="20">
        <f t="shared" si="0"/>
        <v>0.69</v>
      </c>
      <c r="E38" s="8" t="s">
        <v>31</v>
      </c>
    </row>
    <row r="39" spans="1:5" x14ac:dyDescent="0.25">
      <c r="A39" s="1">
        <v>2011</v>
      </c>
      <c r="B39" s="22"/>
      <c r="C39" s="22"/>
      <c r="D39" s="20"/>
      <c r="E39" s="8"/>
    </row>
    <row r="40" spans="1:5" x14ac:dyDescent="0.25">
      <c r="A40" s="1">
        <v>2012</v>
      </c>
      <c r="B40" s="22">
        <v>0.34</v>
      </c>
      <c r="C40" s="22">
        <v>0.66</v>
      </c>
      <c r="D40" s="20">
        <f t="shared" si="0"/>
        <v>0.66</v>
      </c>
      <c r="E40" s="8" t="s">
        <v>31</v>
      </c>
    </row>
    <row r="41" spans="1:5" x14ac:dyDescent="0.25">
      <c r="A41" s="1">
        <v>2013</v>
      </c>
      <c r="B41" s="22"/>
      <c r="C41" s="22"/>
      <c r="D41" s="20"/>
      <c r="E41" s="8"/>
    </row>
    <row r="42" spans="1:5" x14ac:dyDescent="0.25">
      <c r="A42" s="1">
        <v>2014</v>
      </c>
      <c r="B42" s="22">
        <v>0.24</v>
      </c>
      <c r="C42" s="22">
        <v>0.76</v>
      </c>
      <c r="D42" s="20">
        <f t="shared" si="0"/>
        <v>0.76</v>
      </c>
      <c r="E42" s="8" t="s">
        <v>31</v>
      </c>
    </row>
    <row r="43" spans="1:5" x14ac:dyDescent="0.25">
      <c r="A43" s="1">
        <v>2015</v>
      </c>
      <c r="B43" s="22"/>
      <c r="C43" s="22"/>
      <c r="D43" s="20"/>
      <c r="E43" s="8"/>
    </row>
    <row r="44" spans="1:5" x14ac:dyDescent="0.25">
      <c r="A44" s="1">
        <v>2016</v>
      </c>
      <c r="B44" s="22"/>
      <c r="C44" s="22"/>
      <c r="D44" s="20"/>
      <c r="E44" s="8"/>
    </row>
    <row r="45" spans="1:5" x14ac:dyDescent="0.25">
      <c r="A45" s="1">
        <v>2017</v>
      </c>
      <c r="B45" s="22">
        <v>0.3</v>
      </c>
      <c r="C45" s="22">
        <v>0.7</v>
      </c>
      <c r="D45" s="20">
        <f t="shared" si="0"/>
        <v>0.7</v>
      </c>
      <c r="E45" s="8" t="s">
        <v>31</v>
      </c>
    </row>
    <row r="46" spans="1:5" x14ac:dyDescent="0.25">
      <c r="A46" s="1">
        <v>2018</v>
      </c>
      <c r="B46" s="22"/>
      <c r="C46" s="22"/>
      <c r="D46" s="20"/>
      <c r="E46" s="8"/>
    </row>
    <row r="47" spans="1:5" x14ac:dyDescent="0.25">
      <c r="A47" s="1">
        <v>2019</v>
      </c>
      <c r="B47" s="22"/>
      <c r="C47" s="22"/>
      <c r="D47" s="20"/>
      <c r="E47" s="8"/>
    </row>
    <row r="48" spans="1:5" x14ac:dyDescent="0.25">
      <c r="A48" s="1">
        <v>2020</v>
      </c>
      <c r="B48" s="22">
        <v>7.9000000000000001E-2</v>
      </c>
      <c r="C48" s="22">
        <v>0.92</v>
      </c>
      <c r="D48" s="20">
        <f t="shared" si="0"/>
        <v>0.92092092092092093</v>
      </c>
      <c r="E48" s="8" t="s">
        <v>31</v>
      </c>
    </row>
    <row r="49" spans="1:5" x14ac:dyDescent="0.25">
      <c r="A49" s="1">
        <v>2021</v>
      </c>
      <c r="B49" s="22">
        <f>1-C49</f>
        <v>9.2600000000000016E-2</v>
      </c>
      <c r="C49" s="22">
        <v>0.90739999999999998</v>
      </c>
      <c r="D49" s="20">
        <f t="shared" si="0"/>
        <v>0.90739999999999998</v>
      </c>
      <c r="E49" s="8" t="s">
        <v>31</v>
      </c>
    </row>
    <row r="50" spans="1:5" x14ac:dyDescent="0.25">
      <c r="A50" s="1">
        <v>2022</v>
      </c>
      <c r="B50" s="22">
        <f>1-C50</f>
        <v>7.4100000000000055E-2</v>
      </c>
      <c r="C50" s="22">
        <v>0.92589999999999995</v>
      </c>
      <c r="D50" s="20">
        <f t="shared" si="0"/>
        <v>0.92589999999999995</v>
      </c>
      <c r="E50" s="8" t="s">
        <v>31</v>
      </c>
    </row>
    <row r="51" spans="1:5" x14ac:dyDescent="0.25">
      <c r="A51" s="1">
        <v>2023</v>
      </c>
      <c r="B51" s="22"/>
      <c r="C51" s="22"/>
      <c r="D51" s="20"/>
      <c r="E51" s="8"/>
    </row>
    <row r="52" spans="1:5" ht="15.75" thickBot="1" x14ac:dyDescent="0.3">
      <c r="A52" s="2">
        <v>2024</v>
      </c>
      <c r="B52" s="9"/>
      <c r="C52" s="9"/>
      <c r="D52" s="19"/>
      <c r="E52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1B1C-DC98-41A7-AD96-5E73E0FC64F3}">
  <dimension ref="A1:E52"/>
  <sheetViews>
    <sheetView topLeftCell="A24" workbookViewId="0">
      <selection activeCell="I52" sqref="I52"/>
    </sheetView>
  </sheetViews>
  <sheetFormatPr defaultRowHeight="15" x14ac:dyDescent="0.25"/>
  <cols>
    <col min="1" max="1" width="10.140625" bestFit="1" customWidth="1"/>
    <col min="2" max="2" width="14.5703125" customWidth="1"/>
    <col min="3" max="3" width="13.85546875" customWidth="1"/>
    <col min="4" max="4" width="17.140625" customWidth="1"/>
    <col min="5" max="5" width="49.140625" bestFit="1" customWidth="1"/>
  </cols>
  <sheetData>
    <row r="1" spans="1:5" ht="15.75" thickBot="1" x14ac:dyDescent="0.3">
      <c r="A1" s="3" t="s">
        <v>0</v>
      </c>
      <c r="B1" s="4" t="s">
        <v>2</v>
      </c>
      <c r="C1" s="4" t="s">
        <v>1</v>
      </c>
      <c r="D1" s="4" t="s">
        <v>3</v>
      </c>
      <c r="E1" s="5" t="s">
        <v>4</v>
      </c>
    </row>
    <row r="2" spans="1:5" x14ac:dyDescent="0.25">
      <c r="A2" s="16">
        <v>1974</v>
      </c>
      <c r="B2" s="25"/>
      <c r="C2" s="25"/>
      <c r="D2" s="25"/>
      <c r="E2" s="18"/>
    </row>
    <row r="3" spans="1:5" x14ac:dyDescent="0.25">
      <c r="A3" s="1">
        <v>1975</v>
      </c>
      <c r="B3" s="26"/>
      <c r="C3" s="26"/>
      <c r="D3" s="26"/>
      <c r="E3" s="8"/>
    </row>
    <row r="4" spans="1:5" x14ac:dyDescent="0.25">
      <c r="A4" s="1">
        <v>1976</v>
      </c>
      <c r="B4" s="26"/>
      <c r="C4" s="26"/>
      <c r="D4" s="26"/>
      <c r="E4" s="8"/>
    </row>
    <row r="5" spans="1:5" x14ac:dyDescent="0.25">
      <c r="A5" s="1">
        <v>1977</v>
      </c>
      <c r="B5" s="26"/>
      <c r="C5" s="23"/>
      <c r="D5" s="26"/>
      <c r="E5" s="8"/>
    </row>
    <row r="6" spans="1:5" x14ac:dyDescent="0.25">
      <c r="A6" s="1">
        <v>1978</v>
      </c>
      <c r="B6" s="23">
        <v>0.05</v>
      </c>
      <c r="C6" s="23">
        <v>0.87</v>
      </c>
      <c r="D6" s="26">
        <f>C6/(C6+B6)</f>
        <v>0.94565217391304346</v>
      </c>
      <c r="E6" s="8" t="s">
        <v>27</v>
      </c>
    </row>
    <row r="7" spans="1:5" x14ac:dyDescent="0.25">
      <c r="A7" s="1">
        <v>1979</v>
      </c>
      <c r="B7" s="23">
        <v>0.55000000000000004</v>
      </c>
      <c r="C7" s="23">
        <v>0.49</v>
      </c>
      <c r="D7" s="26">
        <f t="shared" ref="D7:D52" si="0">C7/(C7+B7)</f>
        <v>0.47115384615384615</v>
      </c>
      <c r="E7" s="8" t="s">
        <v>27</v>
      </c>
    </row>
    <row r="8" spans="1:5" x14ac:dyDescent="0.25">
      <c r="A8" s="1">
        <v>1980</v>
      </c>
      <c r="B8" s="23">
        <v>0.19</v>
      </c>
      <c r="C8" s="23">
        <v>0.23</v>
      </c>
      <c r="D8" s="26">
        <f t="shared" si="0"/>
        <v>0.54761904761904756</v>
      </c>
      <c r="E8" s="8" t="s">
        <v>27</v>
      </c>
    </row>
    <row r="9" spans="1:5" x14ac:dyDescent="0.25">
      <c r="A9" s="1">
        <v>1981</v>
      </c>
      <c r="B9" s="23">
        <v>0.27</v>
      </c>
      <c r="C9" s="23">
        <v>0.24</v>
      </c>
      <c r="D9" s="26">
        <f t="shared" si="0"/>
        <v>0.47058823529411764</v>
      </c>
      <c r="E9" s="8" t="s">
        <v>27</v>
      </c>
    </row>
    <row r="10" spans="1:5" x14ac:dyDescent="0.25">
      <c r="A10" s="1">
        <v>1982</v>
      </c>
      <c r="B10" s="23">
        <v>0.32</v>
      </c>
      <c r="C10" s="23">
        <v>0</v>
      </c>
      <c r="D10" s="26">
        <f t="shared" si="0"/>
        <v>0</v>
      </c>
      <c r="E10" s="8" t="s">
        <v>27</v>
      </c>
    </row>
    <row r="11" spans="1:5" x14ac:dyDescent="0.25">
      <c r="A11" s="1">
        <v>1983</v>
      </c>
      <c r="B11" s="23">
        <v>0.76</v>
      </c>
      <c r="C11" s="23">
        <v>0</v>
      </c>
      <c r="D11" s="26">
        <f t="shared" si="0"/>
        <v>0</v>
      </c>
      <c r="E11" s="8" t="s">
        <v>27</v>
      </c>
    </row>
    <row r="12" spans="1:5" x14ac:dyDescent="0.25">
      <c r="A12" s="1">
        <v>1984</v>
      </c>
      <c r="B12" s="23">
        <v>0.41</v>
      </c>
      <c r="C12" s="23">
        <v>0.15</v>
      </c>
      <c r="D12" s="26">
        <f t="shared" si="0"/>
        <v>0.26785714285714285</v>
      </c>
      <c r="E12" s="8" t="s">
        <v>27</v>
      </c>
    </row>
    <row r="13" spans="1:5" x14ac:dyDescent="0.25">
      <c r="A13" s="1">
        <v>1985</v>
      </c>
      <c r="B13" s="23">
        <v>0.42</v>
      </c>
      <c r="C13" s="23">
        <v>0.14000000000000001</v>
      </c>
      <c r="D13" s="26">
        <f t="shared" si="0"/>
        <v>0.25</v>
      </c>
      <c r="E13" s="8" t="s">
        <v>27</v>
      </c>
    </row>
    <row r="14" spans="1:5" x14ac:dyDescent="0.25">
      <c r="A14" s="1">
        <v>1986</v>
      </c>
      <c r="B14" s="23">
        <v>0.47</v>
      </c>
      <c r="C14" s="23">
        <v>0.15</v>
      </c>
      <c r="D14" s="26">
        <f t="shared" si="0"/>
        <v>0.24193548387096772</v>
      </c>
      <c r="E14" s="8" t="s">
        <v>27</v>
      </c>
    </row>
    <row r="15" spans="1:5" x14ac:dyDescent="0.25">
      <c r="A15" s="1">
        <v>1987</v>
      </c>
      <c r="B15" s="23">
        <v>0.66</v>
      </c>
      <c r="C15" s="23">
        <v>0.21</v>
      </c>
      <c r="D15" s="26">
        <f t="shared" si="0"/>
        <v>0.24137931034482757</v>
      </c>
      <c r="E15" s="8" t="s">
        <v>27</v>
      </c>
    </row>
    <row r="16" spans="1:5" x14ac:dyDescent="0.25">
      <c r="A16" s="1">
        <v>1988</v>
      </c>
      <c r="B16" s="23">
        <v>0.78</v>
      </c>
      <c r="C16" s="23">
        <v>0.17</v>
      </c>
      <c r="D16" s="26">
        <f t="shared" si="0"/>
        <v>0.17894736842105263</v>
      </c>
      <c r="E16" s="8" t="s">
        <v>27</v>
      </c>
    </row>
    <row r="17" spans="1:5" x14ac:dyDescent="0.25">
      <c r="A17" s="1">
        <v>1989</v>
      </c>
      <c r="B17" s="23">
        <v>0.55000000000000004</v>
      </c>
      <c r="C17" s="23">
        <v>8.5300000000000001E-2</v>
      </c>
      <c r="D17" s="26">
        <f t="shared" si="0"/>
        <v>0.13426727530300644</v>
      </c>
      <c r="E17" s="8" t="s">
        <v>27</v>
      </c>
    </row>
    <row r="18" spans="1:5" x14ac:dyDescent="0.25">
      <c r="A18" s="1">
        <v>1990</v>
      </c>
      <c r="B18" s="23">
        <v>0.41</v>
      </c>
      <c r="C18" s="23">
        <v>0.41249999999999998</v>
      </c>
      <c r="D18" s="26">
        <f t="shared" si="0"/>
        <v>0.50151975683890571</v>
      </c>
      <c r="E18" s="8" t="s">
        <v>27</v>
      </c>
    </row>
    <row r="19" spans="1:5" x14ac:dyDescent="0.25">
      <c r="A19" s="1">
        <v>1991</v>
      </c>
      <c r="B19" s="23">
        <v>0.28000000000000003</v>
      </c>
      <c r="C19" s="23">
        <v>0.14560000000000001</v>
      </c>
      <c r="D19" s="26">
        <f t="shared" si="0"/>
        <v>0.34210526315789475</v>
      </c>
      <c r="E19" s="8" t="s">
        <v>27</v>
      </c>
    </row>
    <row r="20" spans="1:5" x14ac:dyDescent="0.25">
      <c r="A20" s="1">
        <v>1992</v>
      </c>
      <c r="B20" s="23">
        <v>0.59</v>
      </c>
      <c r="C20" s="23">
        <v>2.69E-2</v>
      </c>
      <c r="D20" s="26">
        <f t="shared" si="0"/>
        <v>4.360512238612417E-2</v>
      </c>
      <c r="E20" s="8" t="s">
        <v>27</v>
      </c>
    </row>
    <row r="21" spans="1:5" x14ac:dyDescent="0.25">
      <c r="A21" s="1">
        <v>1993</v>
      </c>
      <c r="B21" s="23">
        <v>0.33</v>
      </c>
      <c r="C21" s="23">
        <v>0.20019999999999999</v>
      </c>
      <c r="D21" s="26">
        <f t="shared" si="0"/>
        <v>0.37759336099585061</v>
      </c>
      <c r="E21" s="8" t="s">
        <v>27</v>
      </c>
    </row>
    <row r="22" spans="1:5" x14ac:dyDescent="0.25">
      <c r="A22" s="1">
        <v>1994</v>
      </c>
      <c r="B22" s="23">
        <v>0.45</v>
      </c>
      <c r="C22" s="23">
        <v>0.1472</v>
      </c>
      <c r="D22" s="26">
        <f t="shared" si="0"/>
        <v>0.24648359008707302</v>
      </c>
      <c r="E22" s="8" t="s">
        <v>27</v>
      </c>
    </row>
    <row r="23" spans="1:5" x14ac:dyDescent="0.25">
      <c r="A23" s="1">
        <v>1995</v>
      </c>
      <c r="B23" s="23">
        <v>0.25</v>
      </c>
      <c r="C23" s="23">
        <v>3.5900000000000001E-2</v>
      </c>
      <c r="D23" s="26">
        <f t="shared" si="0"/>
        <v>0.1255683805526408</v>
      </c>
      <c r="E23" s="8" t="s">
        <v>27</v>
      </c>
    </row>
    <row r="24" spans="1:5" x14ac:dyDescent="0.25">
      <c r="A24" s="1">
        <v>1996</v>
      </c>
      <c r="B24" s="23">
        <v>0.56999999999999995</v>
      </c>
      <c r="C24" s="23">
        <v>0.18440000000000001</v>
      </c>
      <c r="D24" s="26">
        <f t="shared" si="0"/>
        <v>0.24443266171792155</v>
      </c>
      <c r="E24" s="8" t="s">
        <v>27</v>
      </c>
    </row>
    <row r="25" spans="1:5" x14ac:dyDescent="0.25">
      <c r="A25" s="1">
        <v>1997</v>
      </c>
      <c r="B25" s="23">
        <v>0.26</v>
      </c>
      <c r="C25" s="23">
        <v>0.23369999999999999</v>
      </c>
      <c r="D25" s="26">
        <f t="shared" si="0"/>
        <v>0.47336439133076763</v>
      </c>
      <c r="E25" s="8" t="s">
        <v>27</v>
      </c>
    </row>
    <row r="26" spans="1:5" x14ac:dyDescent="0.25">
      <c r="A26" s="1">
        <v>1998</v>
      </c>
      <c r="B26" s="23">
        <v>0.59</v>
      </c>
      <c r="C26" s="23">
        <v>0.1716</v>
      </c>
      <c r="D26" s="26">
        <f t="shared" si="0"/>
        <v>0.2253151260504202</v>
      </c>
      <c r="E26" s="8" t="s">
        <v>27</v>
      </c>
    </row>
    <row r="27" spans="1:5" x14ac:dyDescent="0.25">
      <c r="A27" s="1">
        <v>1999</v>
      </c>
      <c r="B27" s="23">
        <v>0.41</v>
      </c>
      <c r="C27" s="23">
        <v>0.16259999999999999</v>
      </c>
      <c r="D27" s="26">
        <f t="shared" si="0"/>
        <v>0.28396786587495632</v>
      </c>
      <c r="E27" s="8" t="s">
        <v>27</v>
      </c>
    </row>
    <row r="28" spans="1:5" x14ac:dyDescent="0.25">
      <c r="A28" s="1">
        <v>2000</v>
      </c>
      <c r="B28" s="23">
        <v>0.39</v>
      </c>
      <c r="C28" s="23">
        <v>0.15010000000000001</v>
      </c>
      <c r="D28" s="26">
        <f t="shared" si="0"/>
        <v>0.27791149787076469</v>
      </c>
      <c r="E28" s="8" t="s">
        <v>28</v>
      </c>
    </row>
    <row r="29" spans="1:5" x14ac:dyDescent="0.25">
      <c r="A29" s="1">
        <v>2001</v>
      </c>
      <c r="B29" s="23">
        <v>0.48</v>
      </c>
      <c r="C29" s="23">
        <v>0.2056</v>
      </c>
      <c r="D29" s="26">
        <f t="shared" si="0"/>
        <v>0.2998833138856476</v>
      </c>
      <c r="E29" s="8" t="s">
        <v>28</v>
      </c>
    </row>
    <row r="30" spans="1:5" x14ac:dyDescent="0.25">
      <c r="A30" s="1">
        <v>2002</v>
      </c>
      <c r="B30" s="23">
        <v>0.53</v>
      </c>
      <c r="C30" s="23">
        <v>0.2089</v>
      </c>
      <c r="D30" s="26">
        <f t="shared" si="0"/>
        <v>0.28271755311950197</v>
      </c>
      <c r="E30" s="8" t="s">
        <v>28</v>
      </c>
    </row>
    <row r="31" spans="1:5" x14ac:dyDescent="0.25">
      <c r="A31" s="1">
        <v>2003</v>
      </c>
      <c r="B31" s="23">
        <v>0.31</v>
      </c>
      <c r="C31" s="26">
        <v>0.08</v>
      </c>
      <c r="D31" s="26">
        <f t="shared" si="0"/>
        <v>0.20512820512820512</v>
      </c>
      <c r="E31" s="8" t="s">
        <v>27</v>
      </c>
    </row>
    <row r="32" spans="1:5" x14ac:dyDescent="0.25">
      <c r="A32" s="1">
        <v>2004</v>
      </c>
      <c r="B32" s="23">
        <v>0.27</v>
      </c>
      <c r="C32" s="23">
        <v>0.05</v>
      </c>
      <c r="D32" s="26">
        <f t="shared" si="0"/>
        <v>0.15625</v>
      </c>
      <c r="E32" s="8" t="s">
        <v>26</v>
      </c>
    </row>
    <row r="33" spans="1:5" x14ac:dyDescent="0.25">
      <c r="A33" s="1">
        <v>2005</v>
      </c>
      <c r="B33" s="23">
        <v>0.39</v>
      </c>
      <c r="C33" s="23">
        <v>0.02</v>
      </c>
      <c r="D33" s="26">
        <f t="shared" si="0"/>
        <v>4.8780487804878044E-2</v>
      </c>
      <c r="E33" s="8" t="s">
        <v>26</v>
      </c>
    </row>
    <row r="34" spans="1:5" x14ac:dyDescent="0.25">
      <c r="A34" s="1">
        <v>2006</v>
      </c>
      <c r="B34" s="23">
        <v>0.51</v>
      </c>
      <c r="C34" s="23">
        <v>0.06</v>
      </c>
      <c r="D34" s="26">
        <f t="shared" si="0"/>
        <v>0.10526315789473682</v>
      </c>
      <c r="E34" s="8" t="s">
        <v>26</v>
      </c>
    </row>
    <row r="35" spans="1:5" x14ac:dyDescent="0.25">
      <c r="A35" s="1">
        <v>2007</v>
      </c>
      <c r="B35" s="23">
        <v>0.23</v>
      </c>
      <c r="C35" s="23">
        <v>0.1</v>
      </c>
      <c r="D35" s="26">
        <f t="shared" si="0"/>
        <v>0.30303030303030304</v>
      </c>
      <c r="E35" s="8" t="s">
        <v>26</v>
      </c>
    </row>
    <row r="36" spans="1:5" x14ac:dyDescent="0.25">
      <c r="A36" s="1">
        <v>2008</v>
      </c>
      <c r="B36" s="23">
        <v>0.3</v>
      </c>
      <c r="C36" s="23">
        <v>0.27</v>
      </c>
      <c r="D36" s="26">
        <f t="shared" si="0"/>
        <v>0.47368421052631576</v>
      </c>
      <c r="E36" s="8" t="s">
        <v>26</v>
      </c>
    </row>
    <row r="37" spans="1:5" x14ac:dyDescent="0.25">
      <c r="A37" s="1">
        <v>2009</v>
      </c>
      <c r="B37" s="23">
        <v>0.56000000000000005</v>
      </c>
      <c r="C37" s="23">
        <v>0.14000000000000001</v>
      </c>
      <c r="D37" s="26">
        <f t="shared" si="0"/>
        <v>0.2</v>
      </c>
      <c r="E37" s="8" t="s">
        <v>26</v>
      </c>
    </row>
    <row r="38" spans="1:5" x14ac:dyDescent="0.25">
      <c r="A38" s="1">
        <v>2010</v>
      </c>
      <c r="B38" s="23">
        <v>0.68</v>
      </c>
      <c r="C38" s="23">
        <v>0.13</v>
      </c>
      <c r="D38" s="26">
        <f t="shared" si="0"/>
        <v>0.16049382716049382</v>
      </c>
      <c r="E38" s="8" t="s">
        <v>26</v>
      </c>
    </row>
    <row r="39" spans="1:5" x14ac:dyDescent="0.25">
      <c r="A39" s="1">
        <v>2011</v>
      </c>
      <c r="B39" s="23">
        <v>0.52</v>
      </c>
      <c r="C39" s="23">
        <v>0.08</v>
      </c>
      <c r="D39" s="26">
        <f t="shared" si="0"/>
        <v>0.13333333333333333</v>
      </c>
      <c r="E39" s="8" t="s">
        <v>26</v>
      </c>
    </row>
    <row r="40" spans="1:5" x14ac:dyDescent="0.25">
      <c r="A40" s="1">
        <v>2012</v>
      </c>
      <c r="B40" s="23">
        <v>0.44</v>
      </c>
      <c r="C40" s="23">
        <v>0.13</v>
      </c>
      <c r="D40" s="26">
        <f t="shared" si="0"/>
        <v>0.22807017543859648</v>
      </c>
      <c r="E40" s="8" t="s">
        <v>26</v>
      </c>
    </row>
    <row r="41" spans="1:5" x14ac:dyDescent="0.25">
      <c r="A41" s="1">
        <v>2013</v>
      </c>
      <c r="B41" s="23">
        <v>0.53</v>
      </c>
      <c r="C41" s="23">
        <v>0.31</v>
      </c>
      <c r="D41" s="26">
        <f t="shared" si="0"/>
        <v>0.36904761904761901</v>
      </c>
      <c r="E41" s="8" t="s">
        <v>26</v>
      </c>
    </row>
    <row r="42" spans="1:5" x14ac:dyDescent="0.25">
      <c r="A42" s="1">
        <v>2014</v>
      </c>
      <c r="B42" s="23">
        <v>0.48</v>
      </c>
      <c r="C42" s="23">
        <v>0.23</v>
      </c>
      <c r="D42" s="26">
        <f t="shared" si="0"/>
        <v>0.323943661971831</v>
      </c>
      <c r="E42" s="8" t="s">
        <v>26</v>
      </c>
    </row>
    <row r="43" spans="1:5" x14ac:dyDescent="0.25">
      <c r="A43" s="1">
        <v>2015</v>
      </c>
      <c r="B43" s="23">
        <v>0.47</v>
      </c>
      <c r="C43" s="23">
        <v>0.15</v>
      </c>
      <c r="D43" s="26">
        <f t="shared" si="0"/>
        <v>0.24193548387096772</v>
      </c>
      <c r="E43" s="8" t="s">
        <v>26</v>
      </c>
    </row>
    <row r="44" spans="1:5" x14ac:dyDescent="0.25">
      <c r="A44" s="1">
        <v>2016</v>
      </c>
      <c r="B44" s="23">
        <v>0.62</v>
      </c>
      <c r="C44" s="23">
        <v>7.0000000000000007E-2</v>
      </c>
      <c r="D44" s="26">
        <f t="shared" si="0"/>
        <v>0.10144927536231886</v>
      </c>
      <c r="E44" s="8" t="s">
        <v>26</v>
      </c>
    </row>
    <row r="45" spans="1:5" x14ac:dyDescent="0.25">
      <c r="A45" s="1">
        <v>2017</v>
      </c>
      <c r="B45" s="23">
        <v>0.35</v>
      </c>
      <c r="C45" s="24">
        <v>0.03</v>
      </c>
      <c r="D45" s="26">
        <f t="shared" si="0"/>
        <v>7.8947368421052627E-2</v>
      </c>
      <c r="E45" s="8" t="s">
        <v>25</v>
      </c>
    </row>
    <row r="46" spans="1:5" x14ac:dyDescent="0.25">
      <c r="A46" s="1">
        <v>2018</v>
      </c>
      <c r="B46" s="23">
        <v>0.19</v>
      </c>
      <c r="C46" s="24">
        <v>0.04</v>
      </c>
      <c r="D46" s="26">
        <f t="shared" si="0"/>
        <v>0.17391304347826086</v>
      </c>
      <c r="E46" s="8" t="s">
        <v>25</v>
      </c>
    </row>
    <row r="47" spans="1:5" x14ac:dyDescent="0.25">
      <c r="A47" s="1">
        <v>2019</v>
      </c>
      <c r="B47" s="23">
        <v>0.68799999999999994</v>
      </c>
      <c r="C47" s="24">
        <v>0.13</v>
      </c>
      <c r="D47" s="26">
        <f t="shared" si="0"/>
        <v>0.15892420537897312</v>
      </c>
      <c r="E47" s="8" t="s">
        <v>25</v>
      </c>
    </row>
    <row r="48" spans="1:5" x14ac:dyDescent="0.25">
      <c r="A48" s="1">
        <v>2020</v>
      </c>
      <c r="B48" s="23">
        <v>0.7</v>
      </c>
      <c r="C48" s="24">
        <v>0.05</v>
      </c>
      <c r="D48" s="26">
        <f t="shared" si="0"/>
        <v>6.6666666666666666E-2</v>
      </c>
      <c r="E48" s="8" t="s">
        <v>25</v>
      </c>
    </row>
    <row r="49" spans="1:5" x14ac:dyDescent="0.25">
      <c r="A49" s="1">
        <v>2021</v>
      </c>
      <c r="B49" s="23">
        <v>0.6</v>
      </c>
      <c r="C49" s="24">
        <v>7.0000000000000007E-2</v>
      </c>
      <c r="D49" s="26">
        <f t="shared" si="0"/>
        <v>0.10447761194029853</v>
      </c>
      <c r="E49" s="8" t="s">
        <v>25</v>
      </c>
    </row>
    <row r="50" spans="1:5" x14ac:dyDescent="0.25">
      <c r="A50" s="1">
        <v>2022</v>
      </c>
      <c r="B50" s="23">
        <v>0.68179999999999996</v>
      </c>
      <c r="C50" s="24">
        <v>7.0000000000000007E-2</v>
      </c>
      <c r="D50" s="26">
        <f t="shared" si="0"/>
        <v>9.3109869646182508E-2</v>
      </c>
      <c r="E50" s="8" t="s">
        <v>25</v>
      </c>
    </row>
    <row r="51" spans="1:5" ht="30" x14ac:dyDescent="0.25">
      <c r="A51" s="1">
        <v>2023</v>
      </c>
      <c r="B51" s="26">
        <v>0.09</v>
      </c>
      <c r="C51" s="24">
        <v>0.2</v>
      </c>
      <c r="D51" s="29">
        <f t="shared" si="0"/>
        <v>0.68965517241379304</v>
      </c>
      <c r="E51" s="11" t="s">
        <v>29</v>
      </c>
    </row>
    <row r="52" spans="1:5" ht="30.75" thickBot="1" x14ac:dyDescent="0.3">
      <c r="A52" s="2">
        <v>2024</v>
      </c>
      <c r="B52" s="27">
        <v>0.09</v>
      </c>
      <c r="C52" s="27">
        <v>0.23</v>
      </c>
      <c r="D52" s="30">
        <f t="shared" si="0"/>
        <v>0.71875</v>
      </c>
      <c r="E52" s="28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b23a549-a54c-4a43-8adf-a28450e3a123" xsi:nil="true"/>
    <_ip_UnifiedCompliancePolicyProperties xmlns="http://schemas.microsoft.com/sharepoint/v3" xsi:nil="true"/>
    <lcf76f155ced4ddcb4097134ff3c332f xmlns="818df7d4-2a2a-4c1c-a26e-47ad9ff85da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5FB3C2C10AC74BB1B55EEECB3FA21E" ma:contentTypeVersion="17" ma:contentTypeDescription="Create a new document." ma:contentTypeScope="" ma:versionID="4536ba1adb1c11558df7f37c7a12ed7a">
  <xsd:schema xmlns:xsd="http://www.w3.org/2001/XMLSchema" xmlns:xs="http://www.w3.org/2001/XMLSchema" xmlns:p="http://schemas.microsoft.com/office/2006/metadata/properties" xmlns:ns1="http://schemas.microsoft.com/sharepoint/v3" xmlns:ns2="6b23a549-a54c-4a43-8adf-a28450e3a123" xmlns:ns3="818df7d4-2a2a-4c1c-a26e-47ad9ff85dab" targetNamespace="http://schemas.microsoft.com/office/2006/metadata/properties" ma:root="true" ma:fieldsID="09ff57dd4a2b32936706496093f881bb" ns1:_="" ns2:_="" ns3:_="">
    <xsd:import namespace="http://schemas.microsoft.com/sharepoint/v3"/>
    <xsd:import namespace="6b23a549-a54c-4a43-8adf-a28450e3a123"/>
    <xsd:import namespace="818df7d4-2a2a-4c1c-a26e-47ad9ff85d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3a549-a54c-4a43-8adf-a28450e3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d3949c-0522-484f-9619-6ad4e86da66a}" ma:internalName="TaxCatchAll" ma:showField="CatchAllData" ma:web="6b23a549-a54c-4a43-8adf-a28450e3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df7d4-2a2a-4c1c-a26e-47ad9ff85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E0F30-6DC4-4DE1-8BD0-3C0EDEB101B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b23a549-a54c-4a43-8adf-a28450e3a123"/>
    <ds:schemaRef ds:uri="818df7d4-2a2a-4c1c-a26e-47ad9ff85dab"/>
  </ds:schemaRefs>
</ds:datastoreItem>
</file>

<file path=customXml/itemProps2.xml><?xml version="1.0" encoding="utf-8"?>
<ds:datastoreItem xmlns:ds="http://schemas.openxmlformats.org/officeDocument/2006/customXml" ds:itemID="{8B301024-0818-4870-B2BF-82987C2AE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23a549-a54c-4a43-8adf-a28450e3a123"/>
    <ds:schemaRef ds:uri="818df7d4-2a2a-4c1c-a26e-47ad9ff85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30A02B-FCF0-490E-AD7D-2F7FBBD855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Quinsam</vt:lpstr>
      <vt:lpstr>Phillips</vt:lpstr>
      <vt:lpstr>Nimpkish_Woss</vt:lpstr>
      <vt:lpstr>Salmon River</vt:lpstr>
      <vt:lpstr>Campbell River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Zoehner, Brendan (DFO/MPO)</dc:creator>
  <cp:lastModifiedBy>Schaefer, Olivia (she, her / elle, la) (DFO/MPO)</cp:lastModifiedBy>
  <dcterms:created xsi:type="dcterms:W3CDTF">2025-07-23T22:49:28Z</dcterms:created>
  <dcterms:modified xsi:type="dcterms:W3CDTF">2025-10-09T19:57:36Z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2025-07-23T22:49:32Z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76f07ffc-81a4-4951-a7f0-251b3bcf5884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0x010100B65FB3C2C10AC74BB1B55EEECB3FA21E</vt:lpwstr>
  </property>
  <property fmtid="{D5CDD505-2E9C-101B-9397-08002B2CF9AE}" pid="10" name="MediaServiceImageTags">
    <vt:lpwstr/>
  </property>
</Properties>
</file>